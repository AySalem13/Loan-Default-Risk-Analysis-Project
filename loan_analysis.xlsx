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d4bd3aeb3e790/Desktop/loan-default-risk-analysis-vjfdl/"/>
    </mc:Choice>
  </mc:AlternateContent>
  <xr:revisionPtr revIDLastSave="2" documentId="8_{278B8711-A868-4993-B965-A7EB7DACDEBA}" xr6:coauthVersionLast="47" xr6:coauthVersionMax="47" xr10:uidLastSave="{BAC0B4FD-D109-4257-9E3E-DA56F588A50A}"/>
  <bookViews>
    <workbookView xWindow="-108" yWindow="-108" windowWidth="23256" windowHeight="12456" xr2:uid="{5D46AA52-0737-4247-9785-DCCF051CB952}"/>
  </bookViews>
  <sheets>
    <sheet name="borrower_profiles" sheetId="1" r:id="rId1"/>
    <sheet name="loan_applications" sheetId="2" r:id="rId2"/>
  </sheets>
  <calcPr calcId="0"/>
</workbook>
</file>

<file path=xl/calcChain.xml><?xml version="1.0" encoding="utf-8"?>
<calcChain xmlns="http://schemas.openxmlformats.org/spreadsheetml/2006/main">
  <c r="K4" i="1" l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K3" i="1" l="1"/>
  <c r="K2" i="1"/>
  <c r="K6" i="1"/>
  <c r="K5" i="1"/>
</calcChain>
</file>

<file path=xl/sharedStrings.xml><?xml version="1.0" encoding="utf-8"?>
<sst xmlns="http://schemas.openxmlformats.org/spreadsheetml/2006/main" count="3050" uniqueCount="1141">
  <si>
    <t>loan_id</t>
  </si>
  <si>
    <t>borrower_id</t>
  </si>
  <si>
    <t>application_date</t>
  </si>
  <si>
    <t>loan_purpose</t>
  </si>
  <si>
    <t>term_months</t>
  </si>
  <si>
    <t>monthly_payment</t>
  </si>
  <si>
    <t>loan_status</t>
  </si>
  <si>
    <t>days_delinquent</t>
  </si>
  <si>
    <t>defaulted</t>
  </si>
  <si>
    <t>credit_score</t>
  </si>
  <si>
    <t>dti_ratio</t>
  </si>
  <si>
    <t>loan_amount</t>
  </si>
  <si>
    <t>interest_rate</t>
  </si>
  <si>
    <t>LN-00001</t>
  </si>
  <si>
    <t>BRW-0001</t>
  </si>
  <si>
    <t>Vacation</t>
  </si>
  <si>
    <t>Paid Off</t>
  </si>
  <si>
    <t>LN-00002</t>
  </si>
  <si>
    <t>Major Purchase</t>
  </si>
  <si>
    <t>Default</t>
  </si>
  <si>
    <t>LN-00003</t>
  </si>
  <si>
    <t>BRW-0002</t>
  </si>
  <si>
    <t>Moving</t>
  </si>
  <si>
    <t>LN-00004</t>
  </si>
  <si>
    <t>BRW-0003</t>
  </si>
  <si>
    <t>Auto Loan</t>
  </si>
  <si>
    <t>LN-00005</t>
  </si>
  <si>
    <t>BRW-0004</t>
  </si>
  <si>
    <t>Current</t>
  </si>
  <si>
    <t>LN-00006</t>
  </si>
  <si>
    <t>BRW-0005</t>
  </si>
  <si>
    <t>Education</t>
  </si>
  <si>
    <t>LN-00007</t>
  </si>
  <si>
    <t>BRW-0006</t>
  </si>
  <si>
    <t>Medical Expenses</t>
  </si>
  <si>
    <t>LN-00008</t>
  </si>
  <si>
    <t>BRW-0007</t>
  </si>
  <si>
    <t>Home Improvement</t>
  </si>
  <si>
    <t>LN-00009</t>
  </si>
  <si>
    <t>Business Loan</t>
  </si>
  <si>
    <t>LN-00010</t>
  </si>
  <si>
    <t>BRW-0008</t>
  </si>
  <si>
    <t>Debt Consolidation</t>
  </si>
  <si>
    <t>LN-00011</t>
  </si>
  <si>
    <t>BRW-0009</t>
  </si>
  <si>
    <t>LN-00012</t>
  </si>
  <si>
    <t>LN-00013</t>
  </si>
  <si>
    <t>BRW-0010</t>
  </si>
  <si>
    <t>Wedding</t>
  </si>
  <si>
    <t>LN-00014</t>
  </si>
  <si>
    <t>BRW-0011</t>
  </si>
  <si>
    <t>LN-00015</t>
  </si>
  <si>
    <t>BRW-0012</t>
  </si>
  <si>
    <t>LN-00016</t>
  </si>
  <si>
    <t>LN-00017</t>
  </si>
  <si>
    <t>BRW-0013</t>
  </si>
  <si>
    <t>LN-00018</t>
  </si>
  <si>
    <t>LN-00019</t>
  </si>
  <si>
    <t>BRW-0014</t>
  </si>
  <si>
    <t>LN-00020</t>
  </si>
  <si>
    <t>BRW-0015</t>
  </si>
  <si>
    <t>LN-00021</t>
  </si>
  <si>
    <t>BRW-0016</t>
  </si>
  <si>
    <t>Late</t>
  </si>
  <si>
    <t>LN-00022</t>
  </si>
  <si>
    <t>BRW-0017</t>
  </si>
  <si>
    <t>LN-00023</t>
  </si>
  <si>
    <t>BRW-0018</t>
  </si>
  <si>
    <t>LN-00024</t>
  </si>
  <si>
    <t>BRW-0019</t>
  </si>
  <si>
    <t>LN-00025</t>
  </si>
  <si>
    <t>BRW-0020</t>
  </si>
  <si>
    <t>LN-00026</t>
  </si>
  <si>
    <t>BRW-0021</t>
  </si>
  <si>
    <t>LN-00027</t>
  </si>
  <si>
    <t>LN-00028</t>
  </si>
  <si>
    <t>BRW-0022</t>
  </si>
  <si>
    <t>LN-00029</t>
  </si>
  <si>
    <t>LN-00030</t>
  </si>
  <si>
    <t>BRW-0023</t>
  </si>
  <si>
    <t>LN-00031</t>
  </si>
  <si>
    <t>LN-00032</t>
  </si>
  <si>
    <t>BRW-0024</t>
  </si>
  <si>
    <t>LN-00033</t>
  </si>
  <si>
    <t>BRW-0025</t>
  </si>
  <si>
    <t>LN-00034</t>
  </si>
  <si>
    <t>BRW-0026</t>
  </si>
  <si>
    <t>LN-00035</t>
  </si>
  <si>
    <t>BRW-0027</t>
  </si>
  <si>
    <t>LN-00036</t>
  </si>
  <si>
    <t>BRW-0028</t>
  </si>
  <si>
    <t>LN-00037</t>
  </si>
  <si>
    <t>BRW-0029</t>
  </si>
  <si>
    <t>LN-00038</t>
  </si>
  <si>
    <t>BRW-0030</t>
  </si>
  <si>
    <t>LN-00039</t>
  </si>
  <si>
    <t>BRW-0031</t>
  </si>
  <si>
    <t>LN-00040</t>
  </si>
  <si>
    <t>BRW-0032</t>
  </si>
  <si>
    <t>LN-00041</t>
  </si>
  <si>
    <t>BRW-0033</t>
  </si>
  <si>
    <t>LN-00042</t>
  </si>
  <si>
    <t>BRW-0034</t>
  </si>
  <si>
    <t>LN-00043</t>
  </si>
  <si>
    <t>LN-00044</t>
  </si>
  <si>
    <t>BRW-0035</t>
  </si>
  <si>
    <t>LN-00045</t>
  </si>
  <si>
    <t>LN-00046</t>
  </si>
  <si>
    <t>BRW-0036</t>
  </si>
  <si>
    <t>LN-00047</t>
  </si>
  <si>
    <t>BRW-0037</t>
  </si>
  <si>
    <t>LN-00048</t>
  </si>
  <si>
    <t>BRW-0038</t>
  </si>
  <si>
    <t>LN-00049</t>
  </si>
  <si>
    <t>LN-00050</t>
  </si>
  <si>
    <t>BRW-0039</t>
  </si>
  <si>
    <t>LN-00051</t>
  </si>
  <si>
    <t>BRW-0040</t>
  </si>
  <si>
    <t>LN-00052</t>
  </si>
  <si>
    <t>BRW-0041</t>
  </si>
  <si>
    <t>LN-00053</t>
  </si>
  <si>
    <t>LN-00054</t>
  </si>
  <si>
    <t>BRW-0042</t>
  </si>
  <si>
    <t>LN-00055</t>
  </si>
  <si>
    <t>BRW-0043</t>
  </si>
  <si>
    <t>LN-00056</t>
  </si>
  <si>
    <t>BRW-0044</t>
  </si>
  <si>
    <t>LN-00057</t>
  </si>
  <si>
    <t>BRW-0045</t>
  </si>
  <si>
    <t>LN-00058</t>
  </si>
  <si>
    <t>BRW-0046</t>
  </si>
  <si>
    <t>LN-00059</t>
  </si>
  <si>
    <t>BRW-0047</t>
  </si>
  <si>
    <t>LN-00060</t>
  </si>
  <si>
    <t>BRW-0048</t>
  </si>
  <si>
    <t>LN-00061</t>
  </si>
  <si>
    <t>BRW-0049</t>
  </si>
  <si>
    <t>LN-00062</t>
  </si>
  <si>
    <t>BRW-0050</t>
  </si>
  <si>
    <t>LN-00063</t>
  </si>
  <si>
    <t>BRW-0051</t>
  </si>
  <si>
    <t>LN-00064</t>
  </si>
  <si>
    <t>BRW-0052</t>
  </si>
  <si>
    <t>LN-00065</t>
  </si>
  <si>
    <t>LN-00066</t>
  </si>
  <si>
    <t>BRW-0053</t>
  </si>
  <si>
    <t>LN-00067</t>
  </si>
  <si>
    <t>BRW-0054</t>
  </si>
  <si>
    <t>LN-00068</t>
  </si>
  <si>
    <t>BRW-0055</t>
  </si>
  <si>
    <t>LN-00069</t>
  </si>
  <si>
    <t>BRW-0056</t>
  </si>
  <si>
    <t>LN-00070</t>
  </si>
  <si>
    <t>BRW-0057</t>
  </si>
  <si>
    <t>LN-00071</t>
  </si>
  <si>
    <t>BRW-0058</t>
  </si>
  <si>
    <t>LN-00072</t>
  </si>
  <si>
    <t>LN-00073</t>
  </si>
  <si>
    <t>BRW-0059</t>
  </si>
  <si>
    <t>LN-00074</t>
  </si>
  <si>
    <t>BRW-0060</t>
  </si>
  <si>
    <t>LN-00075</t>
  </si>
  <si>
    <t>BRW-0061</t>
  </si>
  <si>
    <t>LN-00076</t>
  </si>
  <si>
    <t>BRW-0062</t>
  </si>
  <si>
    <t>LN-00077</t>
  </si>
  <si>
    <t>LN-00078</t>
  </si>
  <si>
    <t>BRW-0063</t>
  </si>
  <si>
    <t>LN-00079</t>
  </si>
  <si>
    <t>BRW-0064</t>
  </si>
  <si>
    <t>LN-00080</t>
  </si>
  <si>
    <t>BRW-0065</t>
  </si>
  <si>
    <t>LN-00081</t>
  </si>
  <si>
    <t>LN-00082</t>
  </si>
  <si>
    <t>BRW-0066</t>
  </si>
  <si>
    <t>LN-00083</t>
  </si>
  <si>
    <t>LN-00084</t>
  </si>
  <si>
    <t>BRW-0067</t>
  </si>
  <si>
    <t>LN-00085</t>
  </si>
  <si>
    <t>BRW-0068</t>
  </si>
  <si>
    <t>LN-00086</t>
  </si>
  <si>
    <t>BRW-0069</t>
  </si>
  <si>
    <t>LN-00087</t>
  </si>
  <si>
    <t>BRW-0070</t>
  </si>
  <si>
    <t>LN-00088</t>
  </si>
  <si>
    <t>LN-00089</t>
  </si>
  <si>
    <t>BRW-0071</t>
  </si>
  <si>
    <t>LN-00090</t>
  </si>
  <si>
    <t>LN-00091</t>
  </si>
  <si>
    <t>BRW-0072</t>
  </si>
  <si>
    <t>LN-00092</t>
  </si>
  <si>
    <t>BRW-0073</t>
  </si>
  <si>
    <t>LN-00093</t>
  </si>
  <si>
    <t>BRW-0074</t>
  </si>
  <si>
    <t>LN-00094</t>
  </si>
  <si>
    <t>BRW-0075</t>
  </si>
  <si>
    <t>LN-00095</t>
  </si>
  <si>
    <t>BRW-0076</t>
  </si>
  <si>
    <t>LN-00096</t>
  </si>
  <si>
    <t>BRW-0077</t>
  </si>
  <si>
    <t>LN-00097</t>
  </si>
  <si>
    <t>BRW-0078</t>
  </si>
  <si>
    <t>LN-00098</t>
  </si>
  <si>
    <t>BRW-0079</t>
  </si>
  <si>
    <t>LN-00099</t>
  </si>
  <si>
    <t>BRW-0080</t>
  </si>
  <si>
    <t>LN-00100</t>
  </si>
  <si>
    <t>LN-00101</t>
  </si>
  <si>
    <t>BRW-0081</t>
  </si>
  <si>
    <t>LN-00102</t>
  </si>
  <si>
    <t>BRW-0082</t>
  </si>
  <si>
    <t>LN-00103</t>
  </si>
  <si>
    <t>BRW-0083</t>
  </si>
  <si>
    <t>LN-00104</t>
  </si>
  <si>
    <t>BRW-0084</t>
  </si>
  <si>
    <t>LN-00105</t>
  </si>
  <si>
    <t>LN-00106</t>
  </si>
  <si>
    <t>BRW-0085</t>
  </si>
  <si>
    <t>LN-00107</t>
  </si>
  <si>
    <t>BRW-0086</t>
  </si>
  <si>
    <t>LN-00108</t>
  </si>
  <si>
    <t>BRW-0087</t>
  </si>
  <si>
    <t>LN-00109</t>
  </si>
  <si>
    <t>BRW-0088</t>
  </si>
  <si>
    <t>LN-00110</t>
  </si>
  <si>
    <t>BRW-0089</t>
  </si>
  <si>
    <t>LN-00111</t>
  </si>
  <si>
    <t>BRW-0090</t>
  </si>
  <si>
    <t>LN-00112</t>
  </si>
  <si>
    <t>BRW-0091</t>
  </si>
  <si>
    <t>LN-00113</t>
  </si>
  <si>
    <t>BRW-0092</t>
  </si>
  <si>
    <t>LN-00114</t>
  </si>
  <si>
    <t>LN-00115</t>
  </si>
  <si>
    <t>BRW-0093</t>
  </si>
  <si>
    <t>LN-00116</t>
  </si>
  <si>
    <t>BRW-0094</t>
  </si>
  <si>
    <t>LN-00117</t>
  </si>
  <si>
    <t>BRW-0095</t>
  </si>
  <si>
    <t>LN-00118</t>
  </si>
  <si>
    <t>LN-00119</t>
  </si>
  <si>
    <t>BRW-0096</t>
  </si>
  <si>
    <t>LN-00120</t>
  </si>
  <si>
    <t>BRW-0097</t>
  </si>
  <si>
    <t>LN-00121</t>
  </si>
  <si>
    <t>BRW-0098</t>
  </si>
  <si>
    <t>LN-00122</t>
  </si>
  <si>
    <t>BRW-0099</t>
  </si>
  <si>
    <t>LN-00123</t>
  </si>
  <si>
    <t>BRW-0100</t>
  </si>
  <si>
    <t>LN-00124</t>
  </si>
  <si>
    <t>BRW-0101</t>
  </si>
  <si>
    <t>LN-00125</t>
  </si>
  <si>
    <t>BRW-0102</t>
  </si>
  <si>
    <t>LN-00126</t>
  </si>
  <si>
    <t>BRW-0103</t>
  </si>
  <si>
    <t>LN-00127</t>
  </si>
  <si>
    <t>BRW-0104</t>
  </si>
  <si>
    <t>LN-00128</t>
  </si>
  <si>
    <t>LN-00129</t>
  </si>
  <si>
    <t>BRW-0105</t>
  </si>
  <si>
    <t>LN-00130</t>
  </si>
  <si>
    <t>BRW-0106</t>
  </si>
  <si>
    <t>LN-00131</t>
  </si>
  <si>
    <t>BRW-0107</t>
  </si>
  <si>
    <t>LN-00132</t>
  </si>
  <si>
    <t>BRW-0108</t>
  </si>
  <si>
    <t>LN-00133</t>
  </si>
  <si>
    <t>BRW-0109</t>
  </si>
  <si>
    <t>LN-00134</t>
  </si>
  <si>
    <t>BRW-0110</t>
  </si>
  <si>
    <t>LN-00135</t>
  </si>
  <si>
    <t>LN-00136</t>
  </si>
  <si>
    <t>BRW-0111</t>
  </si>
  <si>
    <t>LN-00137</t>
  </si>
  <si>
    <t>BRW-0112</t>
  </si>
  <si>
    <t>LN-00138</t>
  </si>
  <si>
    <t>LN-00139</t>
  </si>
  <si>
    <t>BRW-0113</t>
  </si>
  <si>
    <t>LN-00140</t>
  </si>
  <si>
    <t>BRW-0114</t>
  </si>
  <si>
    <t>LN-00141</t>
  </si>
  <si>
    <t>BRW-0115</t>
  </si>
  <si>
    <t>LN-00142</t>
  </si>
  <si>
    <t>LN-00143</t>
  </si>
  <si>
    <t>BRW-0116</t>
  </si>
  <si>
    <t>LN-00144</t>
  </si>
  <si>
    <t>BRW-0117</t>
  </si>
  <si>
    <t>LN-00145</t>
  </si>
  <si>
    <t>BRW-0118</t>
  </si>
  <si>
    <t>LN-00146</t>
  </si>
  <si>
    <t>BRW-0119</t>
  </si>
  <si>
    <t>LN-00147</t>
  </si>
  <si>
    <t>BRW-0120</t>
  </si>
  <si>
    <t>LN-00148</t>
  </si>
  <si>
    <t>BRW-0121</t>
  </si>
  <si>
    <t>LN-00149</t>
  </si>
  <si>
    <t>BRW-0122</t>
  </si>
  <si>
    <t>LN-00150</t>
  </si>
  <si>
    <t>BRW-0123</t>
  </si>
  <si>
    <t>LN-00151</t>
  </si>
  <si>
    <t>BRW-0124</t>
  </si>
  <si>
    <t>LN-00152</t>
  </si>
  <si>
    <t>BRW-0125</t>
  </si>
  <si>
    <t>LN-00153</t>
  </si>
  <si>
    <t>BRW-0126</t>
  </si>
  <si>
    <t>LN-00154</t>
  </si>
  <si>
    <t>BRW-0127</t>
  </si>
  <si>
    <t>LN-00155</t>
  </si>
  <si>
    <t>BRW-0128</t>
  </si>
  <si>
    <t>LN-00156</t>
  </si>
  <si>
    <t>BRW-0129</t>
  </si>
  <si>
    <t>LN-00157</t>
  </si>
  <si>
    <t>BRW-0130</t>
  </si>
  <si>
    <t>LN-00158</t>
  </si>
  <si>
    <t>BRW-0131</t>
  </si>
  <si>
    <t>LN-00159</t>
  </si>
  <si>
    <t>LN-00160</t>
  </si>
  <si>
    <t>BRW-0132</t>
  </si>
  <si>
    <t>LN-00161</t>
  </si>
  <si>
    <t>BRW-0133</t>
  </si>
  <si>
    <t>LN-00162</t>
  </si>
  <si>
    <t>LN-00163</t>
  </si>
  <si>
    <t>BRW-0134</t>
  </si>
  <si>
    <t>LN-00164</t>
  </si>
  <si>
    <t>BRW-0135</t>
  </si>
  <si>
    <t>LN-00165</t>
  </si>
  <si>
    <t>BRW-0136</t>
  </si>
  <si>
    <t>LN-00166</t>
  </si>
  <si>
    <t>LN-00167</t>
  </si>
  <si>
    <t>BRW-0137</t>
  </si>
  <si>
    <t>LN-00168</t>
  </si>
  <si>
    <t>BRW-0138</t>
  </si>
  <si>
    <t>LN-00169</t>
  </si>
  <si>
    <t>LN-00170</t>
  </si>
  <si>
    <t>BRW-0139</t>
  </si>
  <si>
    <t>LN-00171</t>
  </si>
  <si>
    <t>BRW-0140</t>
  </si>
  <si>
    <t>LN-00172</t>
  </si>
  <si>
    <t>BRW-0141</t>
  </si>
  <si>
    <t>LN-00173</t>
  </si>
  <si>
    <t>BRW-0142</t>
  </si>
  <si>
    <t>LN-00174</t>
  </si>
  <si>
    <t>LN-00175</t>
  </si>
  <si>
    <t>BRW-0143</t>
  </si>
  <si>
    <t>LN-00176</t>
  </si>
  <si>
    <t>BRW-0144</t>
  </si>
  <si>
    <t>LN-00177</t>
  </si>
  <si>
    <t>BRW-0145</t>
  </si>
  <si>
    <t>LN-00178</t>
  </si>
  <si>
    <t>BRW-0146</t>
  </si>
  <si>
    <t>LN-00179</t>
  </si>
  <si>
    <t>BRW-0147</t>
  </si>
  <si>
    <t>LN-00180</t>
  </si>
  <si>
    <t>BRW-0148</t>
  </si>
  <si>
    <t>LN-00181</t>
  </si>
  <si>
    <t>BRW-0149</t>
  </si>
  <si>
    <t>LN-00182</t>
  </si>
  <si>
    <t>BRW-0150</t>
  </si>
  <si>
    <t>LN-00183</t>
  </si>
  <si>
    <t>BRW-0151</t>
  </si>
  <si>
    <t>LN-00184</t>
  </si>
  <si>
    <t>BRW-0152</t>
  </si>
  <si>
    <t>LN-00185</t>
  </si>
  <si>
    <t>BRW-0153</t>
  </si>
  <si>
    <t>LN-00186</t>
  </si>
  <si>
    <t>BRW-0154</t>
  </si>
  <si>
    <t>LN-00187</t>
  </si>
  <si>
    <t>LN-00188</t>
  </si>
  <si>
    <t>BRW-0155</t>
  </si>
  <si>
    <t>LN-00189</t>
  </si>
  <si>
    <t>LN-00190</t>
  </si>
  <si>
    <t>BRW-0156</t>
  </si>
  <si>
    <t>LN-00191</t>
  </si>
  <si>
    <t>LN-00192</t>
  </si>
  <si>
    <t>BRW-0157</t>
  </si>
  <si>
    <t>LN-00193</t>
  </si>
  <si>
    <t>BRW-0158</t>
  </si>
  <si>
    <t>LN-00194</t>
  </si>
  <si>
    <t>BRW-0159</t>
  </si>
  <si>
    <t>LN-00195</t>
  </si>
  <si>
    <t>LN-00196</t>
  </si>
  <si>
    <t>BRW-0160</t>
  </si>
  <si>
    <t>LN-00197</t>
  </si>
  <si>
    <t>BRW-0161</t>
  </si>
  <si>
    <t>LN-00198</t>
  </si>
  <si>
    <t>BRW-0162</t>
  </si>
  <si>
    <t>LN-00199</t>
  </si>
  <si>
    <t>BRW-0163</t>
  </si>
  <si>
    <t>LN-00200</t>
  </si>
  <si>
    <t>BRW-0164</t>
  </si>
  <si>
    <t>LN-00201</t>
  </si>
  <si>
    <t>BRW-0165</t>
  </si>
  <si>
    <t>LN-00202</t>
  </si>
  <si>
    <t>BRW-0166</t>
  </si>
  <si>
    <t>LN-00203</t>
  </si>
  <si>
    <t>BRW-0167</t>
  </si>
  <si>
    <t>LN-00204</t>
  </si>
  <si>
    <t>BRW-0168</t>
  </si>
  <si>
    <t>LN-00205</t>
  </si>
  <si>
    <t>LN-00206</t>
  </si>
  <si>
    <t>BRW-0169</t>
  </si>
  <si>
    <t>LN-00207</t>
  </si>
  <si>
    <t>BRW-0170</t>
  </si>
  <si>
    <t>LN-00208</t>
  </si>
  <si>
    <t>BRW-0171</t>
  </si>
  <si>
    <t>LN-00209</t>
  </si>
  <si>
    <t>LN-00210</t>
  </si>
  <si>
    <t>BRW-0172</t>
  </si>
  <si>
    <t>LN-00211</t>
  </si>
  <si>
    <t>BRW-0173</t>
  </si>
  <si>
    <t>LN-00212</t>
  </si>
  <si>
    <t>BRW-0174</t>
  </si>
  <si>
    <t>LN-00213</t>
  </si>
  <si>
    <t>BRW-0175</t>
  </si>
  <si>
    <t>LN-00214</t>
  </si>
  <si>
    <t>BRW-0176</t>
  </si>
  <si>
    <t>LN-00215</t>
  </si>
  <si>
    <t>BRW-0177</t>
  </si>
  <si>
    <t>LN-00216</t>
  </si>
  <si>
    <t>BRW-0178</t>
  </si>
  <si>
    <t>LN-00217</t>
  </si>
  <si>
    <t>BRW-0179</t>
  </si>
  <si>
    <t>LN-00218</t>
  </si>
  <si>
    <t>LN-00219</t>
  </si>
  <si>
    <t>BRW-0180</t>
  </si>
  <si>
    <t>LN-00220</t>
  </si>
  <si>
    <t>BRW-0181</t>
  </si>
  <si>
    <t>LN-00221</t>
  </si>
  <si>
    <t>BRW-0182</t>
  </si>
  <si>
    <t>LN-00222</t>
  </si>
  <si>
    <t>LN-00223</t>
  </si>
  <si>
    <t>BRW-0183</t>
  </si>
  <si>
    <t>LN-00224</t>
  </si>
  <si>
    <t>LN-00225</t>
  </si>
  <si>
    <t>BRW-0184</t>
  </si>
  <si>
    <t>LN-00226</t>
  </si>
  <si>
    <t>BRW-0185</t>
  </si>
  <si>
    <t>LN-00227</t>
  </si>
  <si>
    <t>BRW-0186</t>
  </si>
  <si>
    <t>LN-00228</t>
  </si>
  <si>
    <t>BRW-0187</t>
  </si>
  <si>
    <t>LN-00229</t>
  </si>
  <si>
    <t>BRW-0188</t>
  </si>
  <si>
    <t>LN-00230</t>
  </si>
  <si>
    <t>BRW-0189</t>
  </si>
  <si>
    <t>LN-00231</t>
  </si>
  <si>
    <t>BRW-0190</t>
  </si>
  <si>
    <t>LN-00232</t>
  </si>
  <si>
    <t>BRW-0191</t>
  </si>
  <si>
    <t>LN-00233</t>
  </si>
  <si>
    <t>BRW-0192</t>
  </si>
  <si>
    <t>LN-00234</t>
  </si>
  <si>
    <t>BRW-0193</t>
  </si>
  <si>
    <t>LN-00235</t>
  </si>
  <si>
    <t>BRW-0194</t>
  </si>
  <si>
    <t>LN-00236</t>
  </si>
  <si>
    <t>LN-00237</t>
  </si>
  <si>
    <t>BRW-0195</t>
  </si>
  <si>
    <t>LN-00238</t>
  </si>
  <si>
    <t>BRW-0196</t>
  </si>
  <si>
    <t>LN-00239</t>
  </si>
  <si>
    <t>BRW-0197</t>
  </si>
  <si>
    <t>LN-00240</t>
  </si>
  <si>
    <t>BRW-0198</t>
  </si>
  <si>
    <t>LN-00241</t>
  </si>
  <si>
    <t>BRW-0199</t>
  </si>
  <si>
    <t>LN-00242</t>
  </si>
  <si>
    <t>BRW-0200</t>
  </si>
  <si>
    <t>LN-00243</t>
  </si>
  <si>
    <t>BRW-0201</t>
  </si>
  <si>
    <t>LN-00244</t>
  </si>
  <si>
    <t>LN-00245</t>
  </si>
  <si>
    <t>BRW-0202</t>
  </si>
  <si>
    <t>LN-00246</t>
  </si>
  <si>
    <t>BRW-0203</t>
  </si>
  <si>
    <t>LN-00247</t>
  </si>
  <si>
    <t>BRW-0204</t>
  </si>
  <si>
    <t>LN-00248</t>
  </si>
  <si>
    <t>LN-00249</t>
  </si>
  <si>
    <t>BRW-0205</t>
  </si>
  <si>
    <t>LN-00250</t>
  </si>
  <si>
    <t>BRW-0206</t>
  </si>
  <si>
    <t>LN-00251</t>
  </si>
  <si>
    <t>LN-00252</t>
  </si>
  <si>
    <t>BRW-0207</t>
  </si>
  <si>
    <t>LN-00253</t>
  </si>
  <si>
    <t>BRW-0208</t>
  </si>
  <si>
    <t>LN-00254</t>
  </si>
  <si>
    <t>LN-00255</t>
  </si>
  <si>
    <t>BRW-0209</t>
  </si>
  <si>
    <t>LN-00256</t>
  </si>
  <si>
    <t>BRW-0210</t>
  </si>
  <si>
    <t>LN-00257</t>
  </si>
  <si>
    <t>BRW-0211</t>
  </si>
  <si>
    <t>LN-00258</t>
  </si>
  <si>
    <t>BRW-0212</t>
  </si>
  <si>
    <t>LN-00259</t>
  </si>
  <si>
    <t>LN-00260</t>
  </si>
  <si>
    <t>BRW-0213</t>
  </si>
  <si>
    <t>LN-00261</t>
  </si>
  <si>
    <t>BRW-0214</t>
  </si>
  <si>
    <t>LN-00262</t>
  </si>
  <si>
    <t>BRW-0215</t>
  </si>
  <si>
    <t>LN-00263</t>
  </si>
  <si>
    <t>BRW-0216</t>
  </si>
  <si>
    <t>LN-00264</t>
  </si>
  <si>
    <t>BRW-0217</t>
  </si>
  <si>
    <t>LN-00265</t>
  </si>
  <si>
    <t>BRW-0218</t>
  </si>
  <si>
    <t>LN-00266</t>
  </si>
  <si>
    <t>BRW-0219</t>
  </si>
  <si>
    <t>LN-00267</t>
  </si>
  <si>
    <t>BRW-0220</t>
  </si>
  <si>
    <t>LN-00268</t>
  </si>
  <si>
    <t>LN-00269</t>
  </si>
  <si>
    <t>BRW-0221</t>
  </si>
  <si>
    <t>LN-00270</t>
  </si>
  <si>
    <t>BRW-0222</t>
  </si>
  <si>
    <t>LN-00271</t>
  </si>
  <si>
    <t>BRW-0223</t>
  </si>
  <si>
    <t>LN-00272</t>
  </si>
  <si>
    <t>BRW-0224</t>
  </si>
  <si>
    <t>LN-00273</t>
  </si>
  <si>
    <t>BRW-0225</t>
  </si>
  <si>
    <t>LN-00274</t>
  </si>
  <si>
    <t>BRW-0226</t>
  </si>
  <si>
    <t>LN-00275</t>
  </si>
  <si>
    <t>BRW-0227</t>
  </si>
  <si>
    <t>LN-00276</t>
  </si>
  <si>
    <t>BRW-0228</t>
  </si>
  <si>
    <t>LN-00277</t>
  </si>
  <si>
    <t>BRW-0229</t>
  </si>
  <si>
    <t>LN-00278</t>
  </si>
  <si>
    <t>LN-00279</t>
  </si>
  <si>
    <t>BRW-0230</t>
  </si>
  <si>
    <t>LN-00280</t>
  </si>
  <si>
    <t>BRW-0231</t>
  </si>
  <si>
    <t>LN-00281</t>
  </si>
  <si>
    <t>BRW-0232</t>
  </si>
  <si>
    <t>LN-00282</t>
  </si>
  <si>
    <t>BRW-0233</t>
  </si>
  <si>
    <t>LN-00283</t>
  </si>
  <si>
    <t>BRW-0234</t>
  </si>
  <si>
    <t>LN-00284</t>
  </si>
  <si>
    <t>BRW-0235</t>
  </si>
  <si>
    <t>LN-00285</t>
  </si>
  <si>
    <t>BRW-0236</t>
  </si>
  <si>
    <t>LN-00286</t>
  </si>
  <si>
    <t>BRW-0237</t>
  </si>
  <si>
    <t>LN-00287</t>
  </si>
  <si>
    <t>BRW-0238</t>
  </si>
  <si>
    <t>LN-00288</t>
  </si>
  <si>
    <t>BRW-0239</t>
  </si>
  <si>
    <t>LN-00289</t>
  </si>
  <si>
    <t>LN-00290</t>
  </si>
  <si>
    <t>BRW-0240</t>
  </si>
  <si>
    <t>LN-00291</t>
  </si>
  <si>
    <t>LN-00292</t>
  </si>
  <si>
    <t>BRW-0241</t>
  </si>
  <si>
    <t>LN-00293</t>
  </si>
  <si>
    <t>BRW-0242</t>
  </si>
  <si>
    <t>LN-00294</t>
  </si>
  <si>
    <t>BRW-0243</t>
  </si>
  <si>
    <t>LN-00295</t>
  </si>
  <si>
    <t>BRW-0244</t>
  </si>
  <si>
    <t>LN-00296</t>
  </si>
  <si>
    <t>BRW-0245</t>
  </si>
  <si>
    <t>LN-00297</t>
  </si>
  <si>
    <t>BRW-0246</t>
  </si>
  <si>
    <t>LN-00298</t>
  </si>
  <si>
    <t>LN-00299</t>
  </si>
  <si>
    <t>BRW-0247</t>
  </si>
  <si>
    <t>LN-00300</t>
  </si>
  <si>
    <t>BRW-0248</t>
  </si>
  <si>
    <t>LN-00301</t>
  </si>
  <si>
    <t>BRW-0249</t>
  </si>
  <si>
    <t>LN-00302</t>
  </si>
  <si>
    <t>BRW-0250</t>
  </si>
  <si>
    <t>LN-00303</t>
  </si>
  <si>
    <t>BRW-0251</t>
  </si>
  <si>
    <t>LN-00304</t>
  </si>
  <si>
    <t>LN-00305</t>
  </si>
  <si>
    <t>BRW-0252</t>
  </si>
  <si>
    <t>LN-00306</t>
  </si>
  <si>
    <t>BRW-0253</t>
  </si>
  <si>
    <t>LN-00307</t>
  </si>
  <si>
    <t>BRW-0254</t>
  </si>
  <si>
    <t>LN-00308</t>
  </si>
  <si>
    <t>BRW-0255</t>
  </si>
  <si>
    <t>LN-00309</t>
  </si>
  <si>
    <t>BRW-0256</t>
  </si>
  <si>
    <t>LN-00310</t>
  </si>
  <si>
    <t>BRW-0257</t>
  </si>
  <si>
    <t>LN-00311</t>
  </si>
  <si>
    <t>BRW-0258</t>
  </si>
  <si>
    <t>LN-00312</t>
  </si>
  <si>
    <t>LN-00313</t>
  </si>
  <si>
    <t>BRW-0259</t>
  </si>
  <si>
    <t>LN-00314</t>
  </si>
  <si>
    <t>BRW-0260</t>
  </si>
  <si>
    <t>LN-00315</t>
  </si>
  <si>
    <t>BRW-0261</t>
  </si>
  <si>
    <t>LN-00316</t>
  </si>
  <si>
    <t>BRW-0262</t>
  </si>
  <si>
    <t>LN-00317</t>
  </si>
  <si>
    <t>BRW-0263</t>
  </si>
  <si>
    <t>LN-00318</t>
  </si>
  <si>
    <t>LN-00319</t>
  </si>
  <si>
    <t>BRW-0264</t>
  </si>
  <si>
    <t>LN-00320</t>
  </si>
  <si>
    <t>LN-00321</t>
  </si>
  <si>
    <t>BRW-0265</t>
  </si>
  <si>
    <t>LN-00322</t>
  </si>
  <si>
    <t>BRW-0266</t>
  </si>
  <si>
    <t>LN-00323</t>
  </si>
  <si>
    <t>BRW-0267</t>
  </si>
  <si>
    <t>LN-00324</t>
  </si>
  <si>
    <t>LN-00325</t>
  </si>
  <si>
    <t>BRW-0268</t>
  </si>
  <si>
    <t>LN-00326</t>
  </si>
  <si>
    <t>LN-00327</t>
  </si>
  <si>
    <t>BRW-0269</t>
  </si>
  <si>
    <t>LN-00328</t>
  </si>
  <si>
    <t>BRW-0270</t>
  </si>
  <si>
    <t>LN-00329</t>
  </si>
  <si>
    <t>BRW-0271</t>
  </si>
  <si>
    <t>LN-00330</t>
  </si>
  <si>
    <t>BRW-0272</t>
  </si>
  <si>
    <t>LN-00331</t>
  </si>
  <si>
    <t>BRW-0273</t>
  </si>
  <si>
    <t>LN-00332</t>
  </si>
  <si>
    <t>BRW-0274</t>
  </si>
  <si>
    <t>LN-00333</t>
  </si>
  <si>
    <t>BRW-0275</t>
  </si>
  <si>
    <t>LN-00334</t>
  </si>
  <si>
    <t>BRW-0276</t>
  </si>
  <si>
    <t>LN-00335</t>
  </si>
  <si>
    <t>BRW-0277</t>
  </si>
  <si>
    <t>LN-00336</t>
  </si>
  <si>
    <t>BRW-0278</t>
  </si>
  <si>
    <t>LN-00337</t>
  </si>
  <si>
    <t>BRW-0279</t>
  </si>
  <si>
    <t>LN-00338</t>
  </si>
  <si>
    <t>BRW-0280</t>
  </si>
  <si>
    <t>LN-00339</t>
  </si>
  <si>
    <t>BRW-0281</t>
  </si>
  <si>
    <t>LN-00340</t>
  </si>
  <si>
    <t>BRW-0282</t>
  </si>
  <si>
    <t>LN-00341</t>
  </si>
  <si>
    <t>LN-00342</t>
  </si>
  <si>
    <t>BRW-0283</t>
  </si>
  <si>
    <t>LN-00343</t>
  </si>
  <si>
    <t>LN-00344</t>
  </si>
  <si>
    <t>BRW-0284</t>
  </si>
  <si>
    <t>LN-00345</t>
  </si>
  <si>
    <t>BRW-0285</t>
  </si>
  <si>
    <t>LN-00346</t>
  </si>
  <si>
    <t>BRW-0286</t>
  </si>
  <si>
    <t>LN-00347</t>
  </si>
  <si>
    <t>BRW-0287</t>
  </si>
  <si>
    <t>LN-00348</t>
  </si>
  <si>
    <t>BRW-0288</t>
  </si>
  <si>
    <t>LN-00349</t>
  </si>
  <si>
    <t>BRW-0289</t>
  </si>
  <si>
    <t>LN-00350</t>
  </si>
  <si>
    <t>BRW-0290</t>
  </si>
  <si>
    <t>LN-00351</t>
  </si>
  <si>
    <t>BRW-0291</t>
  </si>
  <si>
    <t>LN-00352</t>
  </si>
  <si>
    <t>BRW-0292</t>
  </si>
  <si>
    <t>LN-00353</t>
  </si>
  <si>
    <t>BRW-0293</t>
  </si>
  <si>
    <t>LN-00354</t>
  </si>
  <si>
    <t>LN-00355</t>
  </si>
  <si>
    <t>BRW-0294</t>
  </si>
  <si>
    <t>LN-00356</t>
  </si>
  <si>
    <t>BRW-0295</t>
  </si>
  <si>
    <t>LN-00357</t>
  </si>
  <si>
    <t>BRW-0296</t>
  </si>
  <si>
    <t>LN-00358</t>
  </si>
  <si>
    <t>BRW-0297</t>
  </si>
  <si>
    <t>LN-00359</t>
  </si>
  <si>
    <t>LN-00360</t>
  </si>
  <si>
    <t>BRW-0298</t>
  </si>
  <si>
    <t>LN-00361</t>
  </si>
  <si>
    <t>BRW-0299</t>
  </si>
  <si>
    <t>LN-00362</t>
  </si>
  <si>
    <t>BRW-0300</t>
  </si>
  <si>
    <t>LN-00363</t>
  </si>
  <si>
    <t>LN-00364</t>
  </si>
  <si>
    <t>BRW-0301</t>
  </si>
  <si>
    <t>LN-00365</t>
  </si>
  <si>
    <t>LN-00366</t>
  </si>
  <si>
    <t>BRW-0302</t>
  </si>
  <si>
    <t>LN-00367</t>
  </si>
  <si>
    <t>BRW-0303</t>
  </si>
  <si>
    <t>LN-00368</t>
  </si>
  <si>
    <t>LN-00369</t>
  </si>
  <si>
    <t>BRW-0304</t>
  </si>
  <si>
    <t>LN-00370</t>
  </si>
  <si>
    <t>BRW-0305</t>
  </si>
  <si>
    <t>LN-00371</t>
  </si>
  <si>
    <t>BRW-0306</t>
  </si>
  <si>
    <t>LN-00372</t>
  </si>
  <si>
    <t>BRW-0307</t>
  </si>
  <si>
    <t>LN-00373</t>
  </si>
  <si>
    <t>BRW-0308</t>
  </si>
  <si>
    <t>LN-00374</t>
  </si>
  <si>
    <t>BRW-0309</t>
  </si>
  <si>
    <t>LN-00375</t>
  </si>
  <si>
    <t>BRW-0310</t>
  </si>
  <si>
    <t>LN-00376</t>
  </si>
  <si>
    <t>BRW-0311</t>
  </si>
  <si>
    <t>LN-00377</t>
  </si>
  <si>
    <t>BRW-0312</t>
  </si>
  <si>
    <t>LN-00378</t>
  </si>
  <si>
    <t>BRW-0313</t>
  </si>
  <si>
    <t>LN-00379</t>
  </si>
  <si>
    <t>BRW-0314</t>
  </si>
  <si>
    <t>LN-00380</t>
  </si>
  <si>
    <t>BRW-0315</t>
  </si>
  <si>
    <t>LN-00381</t>
  </si>
  <si>
    <t>BRW-0316</t>
  </si>
  <si>
    <t>LN-00382</t>
  </si>
  <si>
    <t>BRW-0317</t>
  </si>
  <si>
    <t>LN-00383</t>
  </si>
  <si>
    <t>BRW-0318</t>
  </si>
  <si>
    <t>LN-00384</t>
  </si>
  <si>
    <t>BRW-0319</t>
  </si>
  <si>
    <t>LN-00385</t>
  </si>
  <si>
    <t>BRW-0320</t>
  </si>
  <si>
    <t>LN-00386</t>
  </si>
  <si>
    <t>LN-00387</t>
  </si>
  <si>
    <t>BRW-0321</t>
  </si>
  <si>
    <t>LN-00388</t>
  </si>
  <si>
    <t>BRW-0322</t>
  </si>
  <si>
    <t>LN-00389</t>
  </si>
  <si>
    <t>LN-00390</t>
  </si>
  <si>
    <t>BRW-0323</t>
  </si>
  <si>
    <t>LN-00391</t>
  </si>
  <si>
    <t>BRW-0324</t>
  </si>
  <si>
    <t>LN-00392</t>
  </si>
  <si>
    <t>BRW-0325</t>
  </si>
  <si>
    <t>LN-00393</t>
  </si>
  <si>
    <t>BRW-0326</t>
  </si>
  <si>
    <t>LN-00394</t>
  </si>
  <si>
    <t>BRW-0327</t>
  </si>
  <si>
    <t>LN-00395</t>
  </si>
  <si>
    <t>BRW-0328</t>
  </si>
  <si>
    <t>LN-00396</t>
  </si>
  <si>
    <t>LN-00397</t>
  </si>
  <si>
    <t>BRW-0329</t>
  </si>
  <si>
    <t>LN-00398</t>
  </si>
  <si>
    <t>BRW-0330</t>
  </si>
  <si>
    <t>LN-00399</t>
  </si>
  <si>
    <t>BRW-0331</t>
  </si>
  <si>
    <t>LN-00400</t>
  </si>
  <si>
    <t>BRW-0332</t>
  </si>
  <si>
    <t>LN-00401</t>
  </si>
  <si>
    <t>BRW-0333</t>
  </si>
  <si>
    <t>LN-00402</t>
  </si>
  <si>
    <t>BRW-0334</t>
  </si>
  <si>
    <t>LN-00403</t>
  </si>
  <si>
    <t>BRW-0335</t>
  </si>
  <si>
    <t>LN-00404</t>
  </si>
  <si>
    <t>BRW-0336</t>
  </si>
  <si>
    <t>LN-00405</t>
  </si>
  <si>
    <t>BRW-0337</t>
  </si>
  <si>
    <t>LN-00406</t>
  </si>
  <si>
    <t>BRW-0338</t>
  </si>
  <si>
    <t>LN-00407</t>
  </si>
  <si>
    <t>LN-00408</t>
  </si>
  <si>
    <t>BRW-0339</t>
  </si>
  <si>
    <t>LN-00409</t>
  </si>
  <si>
    <t>LN-00410</t>
  </si>
  <si>
    <t>BRW-0340</t>
  </si>
  <si>
    <t>LN-00411</t>
  </si>
  <si>
    <t>BRW-0341</t>
  </si>
  <si>
    <t>LN-00412</t>
  </si>
  <si>
    <t>BRW-0342</t>
  </si>
  <si>
    <t>LN-00413</t>
  </si>
  <si>
    <t>BRW-0343</t>
  </si>
  <si>
    <t>LN-00414</t>
  </si>
  <si>
    <t>BRW-0344</t>
  </si>
  <si>
    <t>LN-00415</t>
  </si>
  <si>
    <t>BRW-0345</t>
  </si>
  <si>
    <t>LN-00416</t>
  </si>
  <si>
    <t>BRW-0346</t>
  </si>
  <si>
    <t>LN-00417</t>
  </si>
  <si>
    <t>LN-00418</t>
  </si>
  <si>
    <t>BRW-0347</t>
  </si>
  <si>
    <t>LN-00419</t>
  </si>
  <si>
    <t>BRW-0348</t>
  </si>
  <si>
    <t>LN-00420</t>
  </si>
  <si>
    <t>BRW-0349</t>
  </si>
  <si>
    <t>LN-00421</t>
  </si>
  <si>
    <t>BRW-0350</t>
  </si>
  <si>
    <t>LN-00422</t>
  </si>
  <si>
    <t>BRW-0351</t>
  </si>
  <si>
    <t>LN-00423</t>
  </si>
  <si>
    <t>LN-00424</t>
  </si>
  <si>
    <t>BRW-0352</t>
  </si>
  <si>
    <t>LN-00425</t>
  </si>
  <si>
    <t>BRW-0353</t>
  </si>
  <si>
    <t>LN-00426</t>
  </si>
  <si>
    <t>BRW-0354</t>
  </si>
  <si>
    <t>LN-00427</t>
  </si>
  <si>
    <t>BRW-0355</t>
  </si>
  <si>
    <t>LN-00428</t>
  </si>
  <si>
    <t>BRW-0356</t>
  </si>
  <si>
    <t>LN-00429</t>
  </si>
  <si>
    <t>BRW-0357</t>
  </si>
  <si>
    <t>LN-00430</t>
  </si>
  <si>
    <t>BRW-0358</t>
  </si>
  <si>
    <t>LN-00431</t>
  </si>
  <si>
    <t>BRW-0359</t>
  </si>
  <si>
    <t>LN-00432</t>
  </si>
  <si>
    <t>BRW-0360</t>
  </si>
  <si>
    <t>LN-00433</t>
  </si>
  <si>
    <t>BRW-0361</t>
  </si>
  <si>
    <t>LN-00434</t>
  </si>
  <si>
    <t>LN-00435</t>
  </si>
  <si>
    <t>BRW-0362</t>
  </si>
  <si>
    <t>LN-00436</t>
  </si>
  <si>
    <t>BRW-0363</t>
  </si>
  <si>
    <t>LN-00437</t>
  </si>
  <si>
    <t>BRW-0364</t>
  </si>
  <si>
    <t>LN-00438</t>
  </si>
  <si>
    <t>BRW-0365</t>
  </si>
  <si>
    <t>LN-00439</t>
  </si>
  <si>
    <t>BRW-0366</t>
  </si>
  <si>
    <t>LN-00440</t>
  </si>
  <si>
    <t>BRW-0367</t>
  </si>
  <si>
    <t>LN-00441</t>
  </si>
  <si>
    <t>BRW-0368</t>
  </si>
  <si>
    <t>LN-00442</t>
  </si>
  <si>
    <t>LN-00443</t>
  </si>
  <si>
    <t>BRW-0369</t>
  </si>
  <si>
    <t>LN-00444</t>
  </si>
  <si>
    <t>BRW-0370</t>
  </si>
  <si>
    <t>LN-00445</t>
  </si>
  <si>
    <t>BRW-0371</t>
  </si>
  <si>
    <t>LN-00446</t>
  </si>
  <si>
    <t>BRW-0372</t>
  </si>
  <si>
    <t>LN-00447</t>
  </si>
  <si>
    <t>BRW-0373</t>
  </si>
  <si>
    <t>LN-00448</t>
  </si>
  <si>
    <t>BRW-0374</t>
  </si>
  <si>
    <t>LN-00449</t>
  </si>
  <si>
    <t>LN-00450</t>
  </si>
  <si>
    <t>BRW-0375</t>
  </si>
  <si>
    <t>LN-00451</t>
  </si>
  <si>
    <t>LN-00452</t>
  </si>
  <si>
    <t>BRW-0376</t>
  </si>
  <si>
    <t>LN-00453</t>
  </si>
  <si>
    <t>LN-00454</t>
  </si>
  <si>
    <t>BRW-0377</t>
  </si>
  <si>
    <t>LN-00455</t>
  </si>
  <si>
    <t>BRW-0378</t>
  </si>
  <si>
    <t>LN-00456</t>
  </si>
  <si>
    <t>BRW-0379</t>
  </si>
  <si>
    <t>LN-00457</t>
  </si>
  <si>
    <t>BRW-0380</t>
  </si>
  <si>
    <t>LN-00458</t>
  </si>
  <si>
    <t>BRW-0381</t>
  </si>
  <si>
    <t>LN-00459</t>
  </si>
  <si>
    <t>BRW-0382</t>
  </si>
  <si>
    <t>LN-00460</t>
  </si>
  <si>
    <t>BRW-0383</t>
  </si>
  <si>
    <t>LN-00461</t>
  </si>
  <si>
    <t>BRW-0384</t>
  </si>
  <si>
    <t>LN-00462</t>
  </si>
  <si>
    <t>BRW-0385</t>
  </si>
  <si>
    <t>LN-00463</t>
  </si>
  <si>
    <t>BRW-0386</t>
  </si>
  <si>
    <t>LN-00464</t>
  </si>
  <si>
    <t>BRW-0387</t>
  </si>
  <si>
    <t>LN-00465</t>
  </si>
  <si>
    <t>BRW-0388</t>
  </si>
  <si>
    <t>LN-00466</t>
  </si>
  <si>
    <t>LN-00467</t>
  </si>
  <si>
    <t>BRW-0389</t>
  </si>
  <si>
    <t>LN-00468</t>
  </si>
  <si>
    <t>BRW-0390</t>
  </si>
  <si>
    <t>LN-00469</t>
  </si>
  <si>
    <t>BRW-0391</t>
  </si>
  <si>
    <t>LN-00470</t>
  </si>
  <si>
    <t>BRW-0392</t>
  </si>
  <si>
    <t>LN-00471</t>
  </si>
  <si>
    <t>BRW-0393</t>
  </si>
  <si>
    <t>LN-00472</t>
  </si>
  <si>
    <t>BRW-0394</t>
  </si>
  <si>
    <t>LN-00473</t>
  </si>
  <si>
    <t>LN-00474</t>
  </si>
  <si>
    <t>BRW-0395</t>
  </si>
  <si>
    <t>LN-00475</t>
  </si>
  <si>
    <t>BRW-0396</t>
  </si>
  <si>
    <t>LN-00476</t>
  </si>
  <si>
    <t>BRW-0397</t>
  </si>
  <si>
    <t>LN-00477</t>
  </si>
  <si>
    <t>BRW-0398</t>
  </si>
  <si>
    <t>LN-00478</t>
  </si>
  <si>
    <t>BRW-0399</t>
  </si>
  <si>
    <t>LN-00479</t>
  </si>
  <si>
    <t>BRW-0400</t>
  </si>
  <si>
    <t>LN-00480</t>
  </si>
  <si>
    <t>LN-00481</t>
  </si>
  <si>
    <t>BRW-0401</t>
  </si>
  <si>
    <t>LN-00482</t>
  </si>
  <si>
    <t>BRW-0402</t>
  </si>
  <si>
    <t>LN-00483</t>
  </si>
  <si>
    <t>BRW-0403</t>
  </si>
  <si>
    <t>LN-00484</t>
  </si>
  <si>
    <t>BRW-0404</t>
  </si>
  <si>
    <t>LN-00485</t>
  </si>
  <si>
    <t>BRW-0405</t>
  </si>
  <si>
    <t>LN-00486</t>
  </si>
  <si>
    <t>BRW-0406</t>
  </si>
  <si>
    <t>LN-00487</t>
  </si>
  <si>
    <t>LN-00488</t>
  </si>
  <si>
    <t>BRW-0407</t>
  </si>
  <si>
    <t>LN-00489</t>
  </si>
  <si>
    <t>BRW-0408</t>
  </si>
  <si>
    <t>LN-00490</t>
  </si>
  <si>
    <t>BRW-0409</t>
  </si>
  <si>
    <t>LN-00491</t>
  </si>
  <si>
    <t>BRW-0410</t>
  </si>
  <si>
    <t>LN-00492</t>
  </si>
  <si>
    <t>BRW-0411</t>
  </si>
  <si>
    <t>LN-00493</t>
  </si>
  <si>
    <t>BRW-0412</t>
  </si>
  <si>
    <t>LN-00494</t>
  </si>
  <si>
    <t>BRW-0413</t>
  </si>
  <si>
    <t>LN-00495</t>
  </si>
  <si>
    <t>BRW-0414</t>
  </si>
  <si>
    <t>LN-00496</t>
  </si>
  <si>
    <t>BRW-0415</t>
  </si>
  <si>
    <t>LN-00497</t>
  </si>
  <si>
    <t>LN-00498</t>
  </si>
  <si>
    <t>BRW-0416</t>
  </si>
  <si>
    <t>LN-00499</t>
  </si>
  <si>
    <t>BRW-0417</t>
  </si>
  <si>
    <t>LN-00500</t>
  </si>
  <si>
    <t>BRW-0418</t>
  </si>
  <si>
    <t>LN-00501</t>
  </si>
  <si>
    <t>BRW-0419</t>
  </si>
  <si>
    <t>LN-00502</t>
  </si>
  <si>
    <t>BRW-0420</t>
  </si>
  <si>
    <t>LN-00503</t>
  </si>
  <si>
    <t>LN-00504</t>
  </si>
  <si>
    <t>BRW-0421</t>
  </si>
  <si>
    <t>LN-00505</t>
  </si>
  <si>
    <t>BRW-0422</t>
  </si>
  <si>
    <t>LN-00506</t>
  </si>
  <si>
    <t>LN-00507</t>
  </si>
  <si>
    <t>BRW-0423</t>
  </si>
  <si>
    <t>LN-00508</t>
  </si>
  <si>
    <t>BRW-0424</t>
  </si>
  <si>
    <t>LN-00509</t>
  </si>
  <si>
    <t>BRW-0425</t>
  </si>
  <si>
    <t>LN-00510</t>
  </si>
  <si>
    <t>BRW-0426</t>
  </si>
  <si>
    <t>LN-00511</t>
  </si>
  <si>
    <t>LN-00512</t>
  </si>
  <si>
    <t>BRW-0427</t>
  </si>
  <si>
    <t>LN-00513</t>
  </si>
  <si>
    <t>BRW-0428</t>
  </si>
  <si>
    <t>LN-00514</t>
  </si>
  <si>
    <t>BRW-0429</t>
  </si>
  <si>
    <t>LN-00515</t>
  </si>
  <si>
    <t>BRW-0430</t>
  </si>
  <si>
    <t>LN-00516</t>
  </si>
  <si>
    <t>BRW-0431</t>
  </si>
  <si>
    <t>LN-00517</t>
  </si>
  <si>
    <t>LN-00518</t>
  </si>
  <si>
    <t>BRW-0432</t>
  </si>
  <si>
    <t>LN-00519</t>
  </si>
  <si>
    <t>BRW-0433</t>
  </si>
  <si>
    <t>LN-00520</t>
  </si>
  <si>
    <t>LN-00521</t>
  </si>
  <si>
    <t>BRW-0434</t>
  </si>
  <si>
    <t>LN-00522</t>
  </si>
  <si>
    <t>BRW-0435</t>
  </si>
  <si>
    <t>LN-00523</t>
  </si>
  <si>
    <t>BRW-0436</t>
  </si>
  <si>
    <t>LN-00524</t>
  </si>
  <si>
    <t>BRW-0437</t>
  </si>
  <si>
    <t>LN-00525</t>
  </si>
  <si>
    <t>BRW-0438</t>
  </si>
  <si>
    <t>LN-00526</t>
  </si>
  <si>
    <t>BRW-0439</t>
  </si>
  <si>
    <t>LN-00527</t>
  </si>
  <si>
    <t>BRW-0440</t>
  </si>
  <si>
    <t>LN-00528</t>
  </si>
  <si>
    <t>BRW-0441</t>
  </si>
  <si>
    <t>LN-00529</t>
  </si>
  <si>
    <t>BRW-0442</t>
  </si>
  <si>
    <t>LN-00530</t>
  </si>
  <si>
    <t>BRW-0443</t>
  </si>
  <si>
    <t>LN-00531</t>
  </si>
  <si>
    <t>BRW-0444</t>
  </si>
  <si>
    <t>LN-00532</t>
  </si>
  <si>
    <t>BRW-0445</t>
  </si>
  <si>
    <t>LN-00533</t>
  </si>
  <si>
    <t>BRW-0446</t>
  </si>
  <si>
    <t>LN-00534</t>
  </si>
  <si>
    <t>LN-00535</t>
  </si>
  <si>
    <t>BRW-0447</t>
  </si>
  <si>
    <t>LN-00536</t>
  </si>
  <si>
    <t>BRW-0448</t>
  </si>
  <si>
    <t>LN-00537</t>
  </si>
  <si>
    <t>BRW-0449</t>
  </si>
  <si>
    <t>LN-00538</t>
  </si>
  <si>
    <t>BRW-0450</t>
  </si>
  <si>
    <t>LN-00539</t>
  </si>
  <si>
    <t>BRW-0451</t>
  </si>
  <si>
    <t>LN-00540</t>
  </si>
  <si>
    <t>BRW-0452</t>
  </si>
  <si>
    <t>LN-00541</t>
  </si>
  <si>
    <t>BRW-0453</t>
  </si>
  <si>
    <t>LN-00542</t>
  </si>
  <si>
    <t>LN-00543</t>
  </si>
  <si>
    <t>BRW-0454</t>
  </si>
  <si>
    <t>LN-00544</t>
  </si>
  <si>
    <t>BRW-0455</t>
  </si>
  <si>
    <t>LN-00545</t>
  </si>
  <si>
    <t>BRW-0456</t>
  </si>
  <si>
    <t>LN-00546</t>
  </si>
  <si>
    <t>LN-00547</t>
  </si>
  <si>
    <t>BRW-0457</t>
  </si>
  <si>
    <t>LN-00548</t>
  </si>
  <si>
    <t>BRW-0458</t>
  </si>
  <si>
    <t>LN-00549</t>
  </si>
  <si>
    <t>BRW-0459</t>
  </si>
  <si>
    <t>LN-00550</t>
  </si>
  <si>
    <t>BRW-0460</t>
  </si>
  <si>
    <t>LN-00551</t>
  </si>
  <si>
    <t>BRW-0461</t>
  </si>
  <si>
    <t>LN-00552</t>
  </si>
  <si>
    <t>BRW-0462</t>
  </si>
  <si>
    <t>LN-00553</t>
  </si>
  <si>
    <t>BRW-0463</t>
  </si>
  <si>
    <t>LN-00554</t>
  </si>
  <si>
    <t>LN-00555</t>
  </si>
  <si>
    <t>BRW-0464</t>
  </si>
  <si>
    <t>LN-00556</t>
  </si>
  <si>
    <t>BRW-0465</t>
  </si>
  <si>
    <t>LN-00557</t>
  </si>
  <si>
    <t>LN-00558</t>
  </si>
  <si>
    <t>BRW-0466</t>
  </si>
  <si>
    <t>LN-00559</t>
  </si>
  <si>
    <t>BRW-0467</t>
  </si>
  <si>
    <t>LN-00560</t>
  </si>
  <si>
    <t>BRW-0468</t>
  </si>
  <si>
    <t>LN-00561</t>
  </si>
  <si>
    <t>LN-00562</t>
  </si>
  <si>
    <t>BRW-0469</t>
  </si>
  <si>
    <t>LN-00563</t>
  </si>
  <si>
    <t>LN-00564</t>
  </si>
  <si>
    <t>BRW-0470</t>
  </si>
  <si>
    <t>LN-00565</t>
  </si>
  <si>
    <t>BRW-0471</t>
  </si>
  <si>
    <t>LN-00566</t>
  </si>
  <si>
    <t>LN-00567</t>
  </si>
  <si>
    <t>BRW-0472</t>
  </si>
  <si>
    <t>LN-00568</t>
  </si>
  <si>
    <t>LN-00569</t>
  </si>
  <si>
    <t>BRW-0473</t>
  </si>
  <si>
    <t>LN-00570</t>
  </si>
  <si>
    <t>BRW-0474</t>
  </si>
  <si>
    <t>LN-00571</t>
  </si>
  <si>
    <t>BRW-0475</t>
  </si>
  <si>
    <t>LN-00572</t>
  </si>
  <si>
    <t>BRW-0476</t>
  </si>
  <si>
    <t>LN-00573</t>
  </si>
  <si>
    <t>BRW-0477</t>
  </si>
  <si>
    <t>LN-00574</t>
  </si>
  <si>
    <t>BRW-0478</t>
  </si>
  <si>
    <t>LN-00575</t>
  </si>
  <si>
    <t>BRW-0479</t>
  </si>
  <si>
    <t>LN-00576</t>
  </si>
  <si>
    <t>BRW-0480</t>
  </si>
  <si>
    <t>LN-00577</t>
  </si>
  <si>
    <t>BRW-0481</t>
  </si>
  <si>
    <t>LN-00578</t>
  </si>
  <si>
    <t>BRW-0482</t>
  </si>
  <si>
    <t>LN-00579</t>
  </si>
  <si>
    <t>BRW-0483</t>
  </si>
  <si>
    <t>LN-00580</t>
  </si>
  <si>
    <t>BRW-0484</t>
  </si>
  <si>
    <t>LN-00581</t>
  </si>
  <si>
    <t>LN-00582</t>
  </si>
  <si>
    <t>BRW-0485</t>
  </si>
  <si>
    <t>LN-00583</t>
  </si>
  <si>
    <t>BRW-0486</t>
  </si>
  <si>
    <t>LN-00584</t>
  </si>
  <si>
    <t>BRW-0487</t>
  </si>
  <si>
    <t>LN-00585</t>
  </si>
  <si>
    <t>LN-00586</t>
  </si>
  <si>
    <t>BRW-0488</t>
  </si>
  <si>
    <t>LN-00587</t>
  </si>
  <si>
    <t>LN-00588</t>
  </si>
  <si>
    <t>BRW-0489</t>
  </si>
  <si>
    <t>LN-00589</t>
  </si>
  <si>
    <t>BRW-0490</t>
  </si>
  <si>
    <t>LN-00590</t>
  </si>
  <si>
    <t>BRW-0491</t>
  </si>
  <si>
    <t>LN-00591</t>
  </si>
  <si>
    <t>BRW-0492</t>
  </si>
  <si>
    <t>LN-00592</t>
  </si>
  <si>
    <t>BRW-0493</t>
  </si>
  <si>
    <t>LN-00593</t>
  </si>
  <si>
    <t>BRW-0494</t>
  </si>
  <si>
    <t>LN-00594</t>
  </si>
  <si>
    <t>BRW-0495</t>
  </si>
  <si>
    <t>LN-00595</t>
  </si>
  <si>
    <t>BRW-0496</t>
  </si>
  <si>
    <t>LN-00596</t>
  </si>
  <si>
    <t>BRW-0497</t>
  </si>
  <si>
    <t>LN-00597</t>
  </si>
  <si>
    <t>LN-00598</t>
  </si>
  <si>
    <t>BRW-0498</t>
  </si>
  <si>
    <t>LN-00599</t>
  </si>
  <si>
    <t>BRW-0499</t>
  </si>
  <si>
    <t>LN-00600</t>
  </si>
  <si>
    <t>BRW-0500</t>
  </si>
  <si>
    <t>LN-00601</t>
  </si>
  <si>
    <t>Min Score</t>
  </si>
  <si>
    <t>Bucket Label</t>
  </si>
  <si>
    <t>&lt;520</t>
  </si>
  <si>
    <t>520-599</t>
  </si>
  <si>
    <t>600-649</t>
  </si>
  <si>
    <t>650-699</t>
  </si>
  <si>
    <t>700-749</t>
  </si>
  <si>
    <t>750+</t>
  </si>
  <si>
    <t>credit_score_bucket</t>
  </si>
  <si>
    <t>defualt</t>
  </si>
  <si>
    <t>Credit Score Bucket</t>
  </si>
  <si>
    <t>Avg Default Rate</t>
  </si>
  <si>
    <t>default_rate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</si>
</sst>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33" borderId="10" xfId="0" applyFont="1" applyFill="1" applyBorder="1"/>
    <xf numFmtId="0" fontId="0" fillId="0" borderId="10" xfId="0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Default Rate by Credit Score Bucket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borrower_profiles!$K$1</c:f>
              <c:strCache>
                <c:ptCount val="1"/>
                <c:pt idx="0">
                  <c:v>Avg 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borrower_profiles!$J$2:$J$6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borrower_profiles!$K$2:$K$6</c:f>
              <c:numCache>
                <c:formatCode>0.0%</c:formatCode>
                <c:ptCount val="5"/>
                <c:pt idx="0">
                  <c:v>0.49137931034482757</c:v>
                </c:pt>
                <c:pt idx="1">
                  <c:v>0.29032258064516131</c:v>
                </c:pt>
                <c:pt idx="2">
                  <c:v>0.28000000000000003</c:v>
                </c:pt>
                <c:pt idx="3">
                  <c:v>0.16279069767441862</c:v>
                </c:pt>
                <c:pt idx="4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E-4B40-A222-2A70E5F18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527135"/>
        <c:axId val="170742863"/>
      </c:barChart>
      <c:catAx>
        <c:axId val="53552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2863"/>
        <c:crosses val="autoZero"/>
        <c:auto val="1"/>
        <c:lblAlgn val="ctr"/>
        <c:lblOffset val="100"/>
        <c:noMultiLvlLbl val="0"/>
      </c:catAx>
      <c:valAx>
        <c:axId val="17074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2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DTI Ratio vs. Default Status.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borrower_profiles!$B$1</c:f>
              <c:strCache>
                <c:ptCount val="1"/>
                <c:pt idx="0">
                  <c:v>defaulted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borrower_profiles!$D$2:$D$602</c:f>
              <c:numCache>
                <c:formatCode>General</c:formatCode>
                <c:ptCount val="601"/>
                <c:pt idx="0">
                  <c:v>55.5</c:v>
                </c:pt>
                <c:pt idx="1">
                  <c:v>40.4</c:v>
                </c:pt>
                <c:pt idx="2">
                  <c:v>70.5</c:v>
                </c:pt>
                <c:pt idx="3">
                  <c:v>59.8</c:v>
                </c:pt>
                <c:pt idx="4">
                  <c:v>44.1</c:v>
                </c:pt>
                <c:pt idx="5">
                  <c:v>37.1</c:v>
                </c:pt>
                <c:pt idx="6">
                  <c:v>49.9</c:v>
                </c:pt>
                <c:pt idx="7">
                  <c:v>38.200000000000003</c:v>
                </c:pt>
                <c:pt idx="8">
                  <c:v>36.799999999999997</c:v>
                </c:pt>
                <c:pt idx="9">
                  <c:v>67.8</c:v>
                </c:pt>
                <c:pt idx="10">
                  <c:v>18.600000000000001</c:v>
                </c:pt>
                <c:pt idx="11">
                  <c:v>13.5</c:v>
                </c:pt>
                <c:pt idx="12">
                  <c:v>126</c:v>
                </c:pt>
                <c:pt idx="13">
                  <c:v>63.6</c:v>
                </c:pt>
                <c:pt idx="14">
                  <c:v>48.3</c:v>
                </c:pt>
                <c:pt idx="15">
                  <c:v>44.5</c:v>
                </c:pt>
                <c:pt idx="16">
                  <c:v>18.8</c:v>
                </c:pt>
                <c:pt idx="17">
                  <c:v>30.1</c:v>
                </c:pt>
                <c:pt idx="18">
                  <c:v>41.4</c:v>
                </c:pt>
                <c:pt idx="19">
                  <c:v>52.5</c:v>
                </c:pt>
                <c:pt idx="20">
                  <c:v>88.1</c:v>
                </c:pt>
                <c:pt idx="21">
                  <c:v>69.400000000000006</c:v>
                </c:pt>
                <c:pt idx="22">
                  <c:v>18.899999999999999</c:v>
                </c:pt>
                <c:pt idx="23">
                  <c:v>112.8</c:v>
                </c:pt>
                <c:pt idx="24">
                  <c:v>62.4</c:v>
                </c:pt>
                <c:pt idx="25">
                  <c:v>60</c:v>
                </c:pt>
                <c:pt idx="26">
                  <c:v>51.7</c:v>
                </c:pt>
                <c:pt idx="27">
                  <c:v>29.2</c:v>
                </c:pt>
                <c:pt idx="28">
                  <c:v>25.9</c:v>
                </c:pt>
                <c:pt idx="29">
                  <c:v>87.7</c:v>
                </c:pt>
                <c:pt idx="30">
                  <c:v>54.1</c:v>
                </c:pt>
                <c:pt idx="31">
                  <c:v>47.5</c:v>
                </c:pt>
                <c:pt idx="32">
                  <c:v>58.9</c:v>
                </c:pt>
                <c:pt idx="33">
                  <c:v>58.7</c:v>
                </c:pt>
                <c:pt idx="34">
                  <c:v>53.8</c:v>
                </c:pt>
                <c:pt idx="35">
                  <c:v>65.3</c:v>
                </c:pt>
                <c:pt idx="36">
                  <c:v>29.3</c:v>
                </c:pt>
                <c:pt idx="37">
                  <c:v>77.2</c:v>
                </c:pt>
                <c:pt idx="38">
                  <c:v>42.1</c:v>
                </c:pt>
                <c:pt idx="39">
                  <c:v>37.5</c:v>
                </c:pt>
                <c:pt idx="40">
                  <c:v>58.8</c:v>
                </c:pt>
                <c:pt idx="41">
                  <c:v>30.9</c:v>
                </c:pt>
                <c:pt idx="42">
                  <c:v>36.799999999999997</c:v>
                </c:pt>
                <c:pt idx="43">
                  <c:v>18.399999999999999</c:v>
                </c:pt>
                <c:pt idx="44">
                  <c:v>79.599999999999994</c:v>
                </c:pt>
                <c:pt idx="45">
                  <c:v>32.200000000000003</c:v>
                </c:pt>
                <c:pt idx="46">
                  <c:v>93.8</c:v>
                </c:pt>
                <c:pt idx="47">
                  <c:v>29.4</c:v>
                </c:pt>
                <c:pt idx="48">
                  <c:v>36.5</c:v>
                </c:pt>
                <c:pt idx="49">
                  <c:v>26.2</c:v>
                </c:pt>
                <c:pt idx="50">
                  <c:v>65.400000000000006</c:v>
                </c:pt>
                <c:pt idx="51">
                  <c:v>39.299999999999997</c:v>
                </c:pt>
                <c:pt idx="52">
                  <c:v>39.1</c:v>
                </c:pt>
                <c:pt idx="53">
                  <c:v>10.9</c:v>
                </c:pt>
                <c:pt idx="54">
                  <c:v>41.3</c:v>
                </c:pt>
                <c:pt idx="55">
                  <c:v>31.5</c:v>
                </c:pt>
                <c:pt idx="56">
                  <c:v>7.6</c:v>
                </c:pt>
                <c:pt idx="57">
                  <c:v>38.700000000000003</c:v>
                </c:pt>
                <c:pt idx="58">
                  <c:v>28.8</c:v>
                </c:pt>
                <c:pt idx="59">
                  <c:v>64.900000000000006</c:v>
                </c:pt>
                <c:pt idx="60">
                  <c:v>53</c:v>
                </c:pt>
                <c:pt idx="61">
                  <c:v>13</c:v>
                </c:pt>
                <c:pt idx="62">
                  <c:v>53.3</c:v>
                </c:pt>
                <c:pt idx="63">
                  <c:v>43.4</c:v>
                </c:pt>
                <c:pt idx="64">
                  <c:v>48.8</c:v>
                </c:pt>
                <c:pt idx="65">
                  <c:v>18.600000000000001</c:v>
                </c:pt>
                <c:pt idx="66">
                  <c:v>72.599999999999994</c:v>
                </c:pt>
                <c:pt idx="67">
                  <c:v>14.8</c:v>
                </c:pt>
                <c:pt idx="68">
                  <c:v>63.1</c:v>
                </c:pt>
                <c:pt idx="69">
                  <c:v>27.8</c:v>
                </c:pt>
                <c:pt idx="70">
                  <c:v>36.299999999999997</c:v>
                </c:pt>
                <c:pt idx="71">
                  <c:v>17.7</c:v>
                </c:pt>
                <c:pt idx="72">
                  <c:v>52</c:v>
                </c:pt>
                <c:pt idx="73">
                  <c:v>10.5</c:v>
                </c:pt>
                <c:pt idx="74">
                  <c:v>67.2</c:v>
                </c:pt>
                <c:pt idx="75">
                  <c:v>53.2</c:v>
                </c:pt>
                <c:pt idx="76">
                  <c:v>12.6</c:v>
                </c:pt>
                <c:pt idx="77">
                  <c:v>47.9</c:v>
                </c:pt>
                <c:pt idx="78">
                  <c:v>36</c:v>
                </c:pt>
                <c:pt idx="79">
                  <c:v>86.4</c:v>
                </c:pt>
                <c:pt idx="80">
                  <c:v>83.8</c:v>
                </c:pt>
                <c:pt idx="81">
                  <c:v>76.900000000000006</c:v>
                </c:pt>
                <c:pt idx="82">
                  <c:v>118.6</c:v>
                </c:pt>
                <c:pt idx="83">
                  <c:v>40</c:v>
                </c:pt>
                <c:pt idx="84">
                  <c:v>51.2</c:v>
                </c:pt>
                <c:pt idx="85">
                  <c:v>39.700000000000003</c:v>
                </c:pt>
                <c:pt idx="86">
                  <c:v>27.5</c:v>
                </c:pt>
                <c:pt idx="87">
                  <c:v>37.6</c:v>
                </c:pt>
                <c:pt idx="88">
                  <c:v>56.6</c:v>
                </c:pt>
                <c:pt idx="89">
                  <c:v>36.200000000000003</c:v>
                </c:pt>
                <c:pt idx="90">
                  <c:v>70.400000000000006</c:v>
                </c:pt>
                <c:pt idx="91">
                  <c:v>29.3</c:v>
                </c:pt>
                <c:pt idx="92">
                  <c:v>74.900000000000006</c:v>
                </c:pt>
                <c:pt idx="93">
                  <c:v>56.7</c:v>
                </c:pt>
                <c:pt idx="94">
                  <c:v>21.1</c:v>
                </c:pt>
                <c:pt idx="95">
                  <c:v>45.4</c:v>
                </c:pt>
                <c:pt idx="96">
                  <c:v>92.5</c:v>
                </c:pt>
                <c:pt idx="97">
                  <c:v>37.799999999999997</c:v>
                </c:pt>
                <c:pt idx="98">
                  <c:v>58.2</c:v>
                </c:pt>
                <c:pt idx="99">
                  <c:v>51.4</c:v>
                </c:pt>
                <c:pt idx="100">
                  <c:v>59.3</c:v>
                </c:pt>
                <c:pt idx="101">
                  <c:v>51.6</c:v>
                </c:pt>
                <c:pt idx="102">
                  <c:v>18.7</c:v>
                </c:pt>
                <c:pt idx="103">
                  <c:v>41.2</c:v>
                </c:pt>
                <c:pt idx="104">
                  <c:v>80.2</c:v>
                </c:pt>
                <c:pt idx="105">
                  <c:v>63.7</c:v>
                </c:pt>
                <c:pt idx="106">
                  <c:v>33.299999999999997</c:v>
                </c:pt>
                <c:pt idx="107">
                  <c:v>29.3</c:v>
                </c:pt>
                <c:pt idx="108">
                  <c:v>45.9</c:v>
                </c:pt>
                <c:pt idx="109">
                  <c:v>26.5</c:v>
                </c:pt>
                <c:pt idx="110">
                  <c:v>32.200000000000003</c:v>
                </c:pt>
                <c:pt idx="111">
                  <c:v>94.1</c:v>
                </c:pt>
                <c:pt idx="112">
                  <c:v>65.599999999999994</c:v>
                </c:pt>
                <c:pt idx="113">
                  <c:v>142.30000000000001</c:v>
                </c:pt>
                <c:pt idx="114">
                  <c:v>65.2</c:v>
                </c:pt>
                <c:pt idx="115">
                  <c:v>80.8</c:v>
                </c:pt>
                <c:pt idx="116">
                  <c:v>32.200000000000003</c:v>
                </c:pt>
                <c:pt idx="117">
                  <c:v>32.6</c:v>
                </c:pt>
                <c:pt idx="118">
                  <c:v>61.8</c:v>
                </c:pt>
                <c:pt idx="119">
                  <c:v>68.099999999999994</c:v>
                </c:pt>
                <c:pt idx="120">
                  <c:v>72.8</c:v>
                </c:pt>
                <c:pt idx="121">
                  <c:v>42.6</c:v>
                </c:pt>
                <c:pt idx="122">
                  <c:v>49.3</c:v>
                </c:pt>
                <c:pt idx="123">
                  <c:v>52.7</c:v>
                </c:pt>
                <c:pt idx="124">
                  <c:v>88.9</c:v>
                </c:pt>
                <c:pt idx="125">
                  <c:v>65.900000000000006</c:v>
                </c:pt>
                <c:pt idx="126">
                  <c:v>50.9</c:v>
                </c:pt>
                <c:pt idx="127">
                  <c:v>66.8</c:v>
                </c:pt>
                <c:pt idx="128">
                  <c:v>45.3</c:v>
                </c:pt>
                <c:pt idx="129">
                  <c:v>32.6</c:v>
                </c:pt>
                <c:pt idx="130">
                  <c:v>49.5</c:v>
                </c:pt>
                <c:pt idx="131">
                  <c:v>32.4</c:v>
                </c:pt>
                <c:pt idx="132">
                  <c:v>38</c:v>
                </c:pt>
                <c:pt idx="133">
                  <c:v>13.5</c:v>
                </c:pt>
                <c:pt idx="134">
                  <c:v>18.7</c:v>
                </c:pt>
                <c:pt idx="135">
                  <c:v>57.1</c:v>
                </c:pt>
                <c:pt idx="136">
                  <c:v>59.5</c:v>
                </c:pt>
                <c:pt idx="137">
                  <c:v>59.3</c:v>
                </c:pt>
                <c:pt idx="138">
                  <c:v>29.9</c:v>
                </c:pt>
                <c:pt idx="139">
                  <c:v>73.400000000000006</c:v>
                </c:pt>
                <c:pt idx="140">
                  <c:v>25.1</c:v>
                </c:pt>
                <c:pt idx="141">
                  <c:v>14.2</c:v>
                </c:pt>
                <c:pt idx="142">
                  <c:v>56.4</c:v>
                </c:pt>
                <c:pt idx="143">
                  <c:v>39.299999999999997</c:v>
                </c:pt>
                <c:pt idx="144">
                  <c:v>8.8000000000000007</c:v>
                </c:pt>
                <c:pt idx="145">
                  <c:v>41.1</c:v>
                </c:pt>
                <c:pt idx="146">
                  <c:v>33.200000000000003</c:v>
                </c:pt>
                <c:pt idx="147">
                  <c:v>31.9</c:v>
                </c:pt>
                <c:pt idx="148">
                  <c:v>49.3</c:v>
                </c:pt>
                <c:pt idx="149">
                  <c:v>27.6</c:v>
                </c:pt>
                <c:pt idx="150">
                  <c:v>35</c:v>
                </c:pt>
                <c:pt idx="151">
                  <c:v>38.200000000000003</c:v>
                </c:pt>
                <c:pt idx="152">
                  <c:v>98.6</c:v>
                </c:pt>
                <c:pt idx="153">
                  <c:v>100.5</c:v>
                </c:pt>
                <c:pt idx="154">
                  <c:v>21</c:v>
                </c:pt>
                <c:pt idx="155">
                  <c:v>50.5</c:v>
                </c:pt>
                <c:pt idx="156">
                  <c:v>59.5</c:v>
                </c:pt>
                <c:pt idx="157">
                  <c:v>63.7</c:v>
                </c:pt>
                <c:pt idx="158">
                  <c:v>19.8</c:v>
                </c:pt>
                <c:pt idx="159">
                  <c:v>63</c:v>
                </c:pt>
                <c:pt idx="160">
                  <c:v>19.100000000000001</c:v>
                </c:pt>
                <c:pt idx="161">
                  <c:v>32</c:v>
                </c:pt>
                <c:pt idx="162">
                  <c:v>31.3</c:v>
                </c:pt>
                <c:pt idx="163">
                  <c:v>30.1</c:v>
                </c:pt>
                <c:pt idx="164">
                  <c:v>30.1</c:v>
                </c:pt>
                <c:pt idx="165">
                  <c:v>24.6</c:v>
                </c:pt>
                <c:pt idx="166">
                  <c:v>13.3</c:v>
                </c:pt>
                <c:pt idx="167">
                  <c:v>71.5</c:v>
                </c:pt>
                <c:pt idx="168">
                  <c:v>61.3</c:v>
                </c:pt>
                <c:pt idx="169">
                  <c:v>45.8</c:v>
                </c:pt>
                <c:pt idx="170">
                  <c:v>64.900000000000006</c:v>
                </c:pt>
                <c:pt idx="171">
                  <c:v>29.5</c:v>
                </c:pt>
                <c:pt idx="172">
                  <c:v>49.7</c:v>
                </c:pt>
                <c:pt idx="173">
                  <c:v>58.1</c:v>
                </c:pt>
                <c:pt idx="174">
                  <c:v>21.6</c:v>
                </c:pt>
                <c:pt idx="175">
                  <c:v>26.5</c:v>
                </c:pt>
                <c:pt idx="176">
                  <c:v>32.6</c:v>
                </c:pt>
                <c:pt idx="177">
                  <c:v>31.1</c:v>
                </c:pt>
                <c:pt idx="178">
                  <c:v>25.8</c:v>
                </c:pt>
                <c:pt idx="179">
                  <c:v>96.8</c:v>
                </c:pt>
                <c:pt idx="180">
                  <c:v>10.5</c:v>
                </c:pt>
                <c:pt idx="181">
                  <c:v>58.6</c:v>
                </c:pt>
                <c:pt idx="182">
                  <c:v>26.5</c:v>
                </c:pt>
                <c:pt idx="183">
                  <c:v>64.8</c:v>
                </c:pt>
                <c:pt idx="184">
                  <c:v>103.5</c:v>
                </c:pt>
                <c:pt idx="185">
                  <c:v>54.3</c:v>
                </c:pt>
                <c:pt idx="186">
                  <c:v>32.9</c:v>
                </c:pt>
                <c:pt idx="187">
                  <c:v>114.2</c:v>
                </c:pt>
                <c:pt idx="188">
                  <c:v>65.8</c:v>
                </c:pt>
                <c:pt idx="189">
                  <c:v>32.5</c:v>
                </c:pt>
                <c:pt idx="190">
                  <c:v>41</c:v>
                </c:pt>
                <c:pt idx="191">
                  <c:v>57.9</c:v>
                </c:pt>
                <c:pt idx="192">
                  <c:v>60.9</c:v>
                </c:pt>
                <c:pt idx="193">
                  <c:v>61.1</c:v>
                </c:pt>
                <c:pt idx="194">
                  <c:v>60.4</c:v>
                </c:pt>
                <c:pt idx="195">
                  <c:v>56.2</c:v>
                </c:pt>
                <c:pt idx="196">
                  <c:v>56.1</c:v>
                </c:pt>
                <c:pt idx="197">
                  <c:v>29.2</c:v>
                </c:pt>
                <c:pt idx="198">
                  <c:v>71.099999999999994</c:v>
                </c:pt>
                <c:pt idx="199">
                  <c:v>27.9</c:v>
                </c:pt>
                <c:pt idx="200">
                  <c:v>65.099999999999994</c:v>
                </c:pt>
                <c:pt idx="201">
                  <c:v>50.9</c:v>
                </c:pt>
                <c:pt idx="202">
                  <c:v>67</c:v>
                </c:pt>
                <c:pt idx="203">
                  <c:v>33.299999999999997</c:v>
                </c:pt>
                <c:pt idx="204">
                  <c:v>25.3</c:v>
                </c:pt>
                <c:pt idx="205">
                  <c:v>39.5</c:v>
                </c:pt>
                <c:pt idx="206">
                  <c:v>32.299999999999997</c:v>
                </c:pt>
                <c:pt idx="207">
                  <c:v>56.6</c:v>
                </c:pt>
                <c:pt idx="208">
                  <c:v>54</c:v>
                </c:pt>
                <c:pt idx="209">
                  <c:v>36.299999999999997</c:v>
                </c:pt>
                <c:pt idx="210">
                  <c:v>23.8</c:v>
                </c:pt>
                <c:pt idx="211">
                  <c:v>90.3</c:v>
                </c:pt>
                <c:pt idx="212">
                  <c:v>33.700000000000003</c:v>
                </c:pt>
                <c:pt idx="213">
                  <c:v>56.3</c:v>
                </c:pt>
                <c:pt idx="214">
                  <c:v>70.5</c:v>
                </c:pt>
                <c:pt idx="215">
                  <c:v>64.8</c:v>
                </c:pt>
                <c:pt idx="216">
                  <c:v>31.5</c:v>
                </c:pt>
                <c:pt idx="217">
                  <c:v>46.7</c:v>
                </c:pt>
                <c:pt idx="218">
                  <c:v>44.9</c:v>
                </c:pt>
                <c:pt idx="219">
                  <c:v>64.7</c:v>
                </c:pt>
                <c:pt idx="220">
                  <c:v>61.8</c:v>
                </c:pt>
                <c:pt idx="221">
                  <c:v>85.1</c:v>
                </c:pt>
                <c:pt idx="222">
                  <c:v>64.8</c:v>
                </c:pt>
                <c:pt idx="223">
                  <c:v>60.5</c:v>
                </c:pt>
                <c:pt idx="224">
                  <c:v>40.700000000000003</c:v>
                </c:pt>
                <c:pt idx="225">
                  <c:v>22</c:v>
                </c:pt>
                <c:pt idx="226">
                  <c:v>96.8</c:v>
                </c:pt>
                <c:pt idx="227">
                  <c:v>34.9</c:v>
                </c:pt>
                <c:pt idx="228">
                  <c:v>88</c:v>
                </c:pt>
                <c:pt idx="229">
                  <c:v>33.200000000000003</c:v>
                </c:pt>
                <c:pt idx="230">
                  <c:v>74.900000000000006</c:v>
                </c:pt>
                <c:pt idx="231">
                  <c:v>51.9</c:v>
                </c:pt>
                <c:pt idx="232">
                  <c:v>54.4</c:v>
                </c:pt>
                <c:pt idx="233">
                  <c:v>74.7</c:v>
                </c:pt>
                <c:pt idx="234">
                  <c:v>64.7</c:v>
                </c:pt>
                <c:pt idx="235">
                  <c:v>47.1</c:v>
                </c:pt>
                <c:pt idx="236">
                  <c:v>39.1</c:v>
                </c:pt>
                <c:pt idx="237">
                  <c:v>81.900000000000006</c:v>
                </c:pt>
                <c:pt idx="238">
                  <c:v>52</c:v>
                </c:pt>
                <c:pt idx="239">
                  <c:v>48.2</c:v>
                </c:pt>
                <c:pt idx="240">
                  <c:v>139.69999999999999</c:v>
                </c:pt>
                <c:pt idx="241">
                  <c:v>74.599999999999994</c:v>
                </c:pt>
                <c:pt idx="242">
                  <c:v>49.7</c:v>
                </c:pt>
                <c:pt idx="243">
                  <c:v>76.5</c:v>
                </c:pt>
                <c:pt idx="244">
                  <c:v>83.2</c:v>
                </c:pt>
                <c:pt idx="245">
                  <c:v>21.8</c:v>
                </c:pt>
                <c:pt idx="246">
                  <c:v>21.4</c:v>
                </c:pt>
                <c:pt idx="247">
                  <c:v>14.4</c:v>
                </c:pt>
                <c:pt idx="248">
                  <c:v>137.4</c:v>
                </c:pt>
                <c:pt idx="249">
                  <c:v>22.8</c:v>
                </c:pt>
                <c:pt idx="250">
                  <c:v>29.9</c:v>
                </c:pt>
                <c:pt idx="251">
                  <c:v>51.1</c:v>
                </c:pt>
                <c:pt idx="252">
                  <c:v>49</c:v>
                </c:pt>
                <c:pt idx="253">
                  <c:v>49.8</c:v>
                </c:pt>
                <c:pt idx="254">
                  <c:v>17.3</c:v>
                </c:pt>
                <c:pt idx="255">
                  <c:v>67.3</c:v>
                </c:pt>
                <c:pt idx="256">
                  <c:v>71.099999999999994</c:v>
                </c:pt>
                <c:pt idx="257">
                  <c:v>62.1</c:v>
                </c:pt>
                <c:pt idx="258">
                  <c:v>41.2</c:v>
                </c:pt>
                <c:pt idx="259">
                  <c:v>27.8</c:v>
                </c:pt>
                <c:pt idx="260">
                  <c:v>99.8</c:v>
                </c:pt>
                <c:pt idx="261">
                  <c:v>34.4</c:v>
                </c:pt>
                <c:pt idx="262">
                  <c:v>14.5</c:v>
                </c:pt>
                <c:pt idx="263">
                  <c:v>38.1</c:v>
                </c:pt>
                <c:pt idx="264">
                  <c:v>36.6</c:v>
                </c:pt>
                <c:pt idx="265">
                  <c:v>26.5</c:v>
                </c:pt>
                <c:pt idx="266">
                  <c:v>39.4</c:v>
                </c:pt>
                <c:pt idx="267">
                  <c:v>43.3</c:v>
                </c:pt>
                <c:pt idx="268">
                  <c:v>11</c:v>
                </c:pt>
                <c:pt idx="269">
                  <c:v>53.4</c:v>
                </c:pt>
                <c:pt idx="270">
                  <c:v>19.8</c:v>
                </c:pt>
                <c:pt idx="271">
                  <c:v>42.8</c:v>
                </c:pt>
                <c:pt idx="272">
                  <c:v>38.1</c:v>
                </c:pt>
                <c:pt idx="273">
                  <c:v>177.4</c:v>
                </c:pt>
                <c:pt idx="274">
                  <c:v>51.2</c:v>
                </c:pt>
                <c:pt idx="275">
                  <c:v>56.2</c:v>
                </c:pt>
                <c:pt idx="276">
                  <c:v>55.6</c:v>
                </c:pt>
                <c:pt idx="277">
                  <c:v>61.5</c:v>
                </c:pt>
                <c:pt idx="278">
                  <c:v>43.4</c:v>
                </c:pt>
                <c:pt idx="279">
                  <c:v>25.8</c:v>
                </c:pt>
                <c:pt idx="280">
                  <c:v>46.2</c:v>
                </c:pt>
                <c:pt idx="281">
                  <c:v>31.1</c:v>
                </c:pt>
                <c:pt idx="282">
                  <c:v>36.299999999999997</c:v>
                </c:pt>
                <c:pt idx="283">
                  <c:v>60.7</c:v>
                </c:pt>
                <c:pt idx="284">
                  <c:v>44.8</c:v>
                </c:pt>
                <c:pt idx="285">
                  <c:v>49.1</c:v>
                </c:pt>
                <c:pt idx="286">
                  <c:v>72.2</c:v>
                </c:pt>
                <c:pt idx="287">
                  <c:v>48.1</c:v>
                </c:pt>
                <c:pt idx="288">
                  <c:v>41.7</c:v>
                </c:pt>
                <c:pt idx="289">
                  <c:v>57.1</c:v>
                </c:pt>
                <c:pt idx="290">
                  <c:v>56.5</c:v>
                </c:pt>
                <c:pt idx="291">
                  <c:v>25.2</c:v>
                </c:pt>
                <c:pt idx="292">
                  <c:v>70</c:v>
                </c:pt>
                <c:pt idx="293">
                  <c:v>65.5</c:v>
                </c:pt>
                <c:pt idx="294">
                  <c:v>66.2</c:v>
                </c:pt>
                <c:pt idx="295">
                  <c:v>49.6</c:v>
                </c:pt>
                <c:pt idx="296">
                  <c:v>50.9</c:v>
                </c:pt>
                <c:pt idx="297">
                  <c:v>43.1</c:v>
                </c:pt>
                <c:pt idx="298">
                  <c:v>40.200000000000003</c:v>
                </c:pt>
                <c:pt idx="299">
                  <c:v>16.100000000000001</c:v>
                </c:pt>
                <c:pt idx="300">
                  <c:v>51.2</c:v>
                </c:pt>
                <c:pt idx="301">
                  <c:v>66.5</c:v>
                </c:pt>
                <c:pt idx="302">
                  <c:v>52.7</c:v>
                </c:pt>
                <c:pt idx="303">
                  <c:v>70.5</c:v>
                </c:pt>
                <c:pt idx="304">
                  <c:v>54</c:v>
                </c:pt>
                <c:pt idx="305">
                  <c:v>49.6</c:v>
                </c:pt>
                <c:pt idx="306">
                  <c:v>27</c:v>
                </c:pt>
                <c:pt idx="307">
                  <c:v>38.299999999999997</c:v>
                </c:pt>
                <c:pt idx="308">
                  <c:v>34.299999999999997</c:v>
                </c:pt>
                <c:pt idx="309">
                  <c:v>71.2</c:v>
                </c:pt>
                <c:pt idx="310">
                  <c:v>85.7</c:v>
                </c:pt>
                <c:pt idx="311">
                  <c:v>26</c:v>
                </c:pt>
                <c:pt idx="312">
                  <c:v>76.099999999999994</c:v>
                </c:pt>
                <c:pt idx="313">
                  <c:v>46.7</c:v>
                </c:pt>
                <c:pt idx="314">
                  <c:v>11.8</c:v>
                </c:pt>
                <c:pt idx="315">
                  <c:v>96.6</c:v>
                </c:pt>
                <c:pt idx="316">
                  <c:v>72.599999999999994</c:v>
                </c:pt>
                <c:pt idx="317">
                  <c:v>48.2</c:v>
                </c:pt>
                <c:pt idx="318">
                  <c:v>64.8</c:v>
                </c:pt>
                <c:pt idx="319">
                  <c:v>59.8</c:v>
                </c:pt>
                <c:pt idx="320">
                  <c:v>38.799999999999997</c:v>
                </c:pt>
                <c:pt idx="321">
                  <c:v>30.9</c:v>
                </c:pt>
                <c:pt idx="322">
                  <c:v>68.099999999999994</c:v>
                </c:pt>
                <c:pt idx="323">
                  <c:v>47.1</c:v>
                </c:pt>
                <c:pt idx="324">
                  <c:v>109.3</c:v>
                </c:pt>
                <c:pt idx="325">
                  <c:v>56.6</c:v>
                </c:pt>
                <c:pt idx="326">
                  <c:v>117.3</c:v>
                </c:pt>
                <c:pt idx="327">
                  <c:v>119.6</c:v>
                </c:pt>
                <c:pt idx="328">
                  <c:v>39.9</c:v>
                </c:pt>
                <c:pt idx="329">
                  <c:v>23</c:v>
                </c:pt>
                <c:pt idx="330">
                  <c:v>29.8</c:v>
                </c:pt>
                <c:pt idx="331">
                  <c:v>38.1</c:v>
                </c:pt>
                <c:pt idx="332">
                  <c:v>29.9</c:v>
                </c:pt>
                <c:pt idx="333">
                  <c:v>69.400000000000006</c:v>
                </c:pt>
                <c:pt idx="334">
                  <c:v>33.4</c:v>
                </c:pt>
                <c:pt idx="335">
                  <c:v>40.9</c:v>
                </c:pt>
                <c:pt idx="336">
                  <c:v>44.4</c:v>
                </c:pt>
                <c:pt idx="337">
                  <c:v>77.5</c:v>
                </c:pt>
                <c:pt idx="338">
                  <c:v>64</c:v>
                </c:pt>
                <c:pt idx="339">
                  <c:v>22.8</c:v>
                </c:pt>
                <c:pt idx="340">
                  <c:v>145</c:v>
                </c:pt>
                <c:pt idx="341">
                  <c:v>25</c:v>
                </c:pt>
                <c:pt idx="342">
                  <c:v>37.4</c:v>
                </c:pt>
                <c:pt idx="343">
                  <c:v>31</c:v>
                </c:pt>
                <c:pt idx="344">
                  <c:v>58.9</c:v>
                </c:pt>
                <c:pt idx="345">
                  <c:v>38</c:v>
                </c:pt>
                <c:pt idx="346">
                  <c:v>37</c:v>
                </c:pt>
                <c:pt idx="347">
                  <c:v>26.1</c:v>
                </c:pt>
                <c:pt idx="348">
                  <c:v>53.6</c:v>
                </c:pt>
                <c:pt idx="349">
                  <c:v>9.8000000000000007</c:v>
                </c:pt>
                <c:pt idx="350">
                  <c:v>19.899999999999999</c:v>
                </c:pt>
                <c:pt idx="351">
                  <c:v>62.4</c:v>
                </c:pt>
                <c:pt idx="352">
                  <c:v>29.5</c:v>
                </c:pt>
                <c:pt idx="353">
                  <c:v>28.9</c:v>
                </c:pt>
                <c:pt idx="354">
                  <c:v>21.3</c:v>
                </c:pt>
                <c:pt idx="355">
                  <c:v>38.4</c:v>
                </c:pt>
                <c:pt idx="356">
                  <c:v>49.5</c:v>
                </c:pt>
                <c:pt idx="357">
                  <c:v>37.5</c:v>
                </c:pt>
                <c:pt idx="358">
                  <c:v>26.7</c:v>
                </c:pt>
                <c:pt idx="359">
                  <c:v>54.1</c:v>
                </c:pt>
                <c:pt idx="360">
                  <c:v>64.099999999999994</c:v>
                </c:pt>
                <c:pt idx="361">
                  <c:v>86.4</c:v>
                </c:pt>
                <c:pt idx="362">
                  <c:v>55.4</c:v>
                </c:pt>
                <c:pt idx="363">
                  <c:v>55.1</c:v>
                </c:pt>
                <c:pt idx="364">
                  <c:v>54</c:v>
                </c:pt>
                <c:pt idx="365">
                  <c:v>67.8</c:v>
                </c:pt>
                <c:pt idx="366">
                  <c:v>76</c:v>
                </c:pt>
                <c:pt idx="367">
                  <c:v>63.2</c:v>
                </c:pt>
                <c:pt idx="368">
                  <c:v>66.099999999999994</c:v>
                </c:pt>
                <c:pt idx="369">
                  <c:v>50.7</c:v>
                </c:pt>
                <c:pt idx="370">
                  <c:v>34.200000000000003</c:v>
                </c:pt>
                <c:pt idx="371">
                  <c:v>48.2</c:v>
                </c:pt>
                <c:pt idx="372">
                  <c:v>45.1</c:v>
                </c:pt>
                <c:pt idx="373">
                  <c:v>69.7</c:v>
                </c:pt>
                <c:pt idx="374">
                  <c:v>51.9</c:v>
                </c:pt>
                <c:pt idx="375">
                  <c:v>67.099999999999994</c:v>
                </c:pt>
                <c:pt idx="376">
                  <c:v>76.8</c:v>
                </c:pt>
                <c:pt idx="377">
                  <c:v>41</c:v>
                </c:pt>
                <c:pt idx="378">
                  <c:v>20.9</c:v>
                </c:pt>
                <c:pt idx="379">
                  <c:v>64.5</c:v>
                </c:pt>
                <c:pt idx="380">
                  <c:v>36.200000000000003</c:v>
                </c:pt>
                <c:pt idx="381">
                  <c:v>30.3</c:v>
                </c:pt>
                <c:pt idx="382">
                  <c:v>121.8</c:v>
                </c:pt>
                <c:pt idx="383">
                  <c:v>37.200000000000003</c:v>
                </c:pt>
                <c:pt idx="384">
                  <c:v>16.3</c:v>
                </c:pt>
                <c:pt idx="385">
                  <c:v>36.299999999999997</c:v>
                </c:pt>
                <c:pt idx="386">
                  <c:v>28.6</c:v>
                </c:pt>
                <c:pt idx="387">
                  <c:v>44.9</c:v>
                </c:pt>
                <c:pt idx="388">
                  <c:v>49</c:v>
                </c:pt>
                <c:pt idx="389">
                  <c:v>16.7</c:v>
                </c:pt>
                <c:pt idx="390">
                  <c:v>59</c:v>
                </c:pt>
                <c:pt idx="391">
                  <c:v>100.4</c:v>
                </c:pt>
                <c:pt idx="392">
                  <c:v>30.1</c:v>
                </c:pt>
                <c:pt idx="393">
                  <c:v>47.2</c:v>
                </c:pt>
                <c:pt idx="394">
                  <c:v>24</c:v>
                </c:pt>
                <c:pt idx="395">
                  <c:v>44</c:v>
                </c:pt>
                <c:pt idx="396">
                  <c:v>36.4</c:v>
                </c:pt>
                <c:pt idx="397">
                  <c:v>48.1</c:v>
                </c:pt>
                <c:pt idx="398">
                  <c:v>60.2</c:v>
                </c:pt>
                <c:pt idx="399">
                  <c:v>32</c:v>
                </c:pt>
                <c:pt idx="400">
                  <c:v>52.3</c:v>
                </c:pt>
                <c:pt idx="401">
                  <c:v>55.1</c:v>
                </c:pt>
                <c:pt idx="402">
                  <c:v>29.1</c:v>
                </c:pt>
                <c:pt idx="403">
                  <c:v>13.2</c:v>
                </c:pt>
                <c:pt idx="404">
                  <c:v>77.599999999999994</c:v>
                </c:pt>
                <c:pt idx="405">
                  <c:v>23.3</c:v>
                </c:pt>
                <c:pt idx="406">
                  <c:v>24.2</c:v>
                </c:pt>
                <c:pt idx="407">
                  <c:v>98.4</c:v>
                </c:pt>
                <c:pt idx="408">
                  <c:v>67.400000000000006</c:v>
                </c:pt>
                <c:pt idx="409">
                  <c:v>75.900000000000006</c:v>
                </c:pt>
                <c:pt idx="410">
                  <c:v>21.4</c:v>
                </c:pt>
                <c:pt idx="411">
                  <c:v>65.400000000000006</c:v>
                </c:pt>
                <c:pt idx="412">
                  <c:v>33.700000000000003</c:v>
                </c:pt>
                <c:pt idx="413">
                  <c:v>37.6</c:v>
                </c:pt>
                <c:pt idx="414">
                  <c:v>73.900000000000006</c:v>
                </c:pt>
                <c:pt idx="415">
                  <c:v>47.8</c:v>
                </c:pt>
                <c:pt idx="416">
                  <c:v>54.2</c:v>
                </c:pt>
                <c:pt idx="417">
                  <c:v>26.4</c:v>
                </c:pt>
                <c:pt idx="418">
                  <c:v>26.4</c:v>
                </c:pt>
                <c:pt idx="419">
                  <c:v>45.1</c:v>
                </c:pt>
                <c:pt idx="420">
                  <c:v>47.5</c:v>
                </c:pt>
                <c:pt idx="421">
                  <c:v>44.6</c:v>
                </c:pt>
                <c:pt idx="422">
                  <c:v>50.7</c:v>
                </c:pt>
                <c:pt idx="423">
                  <c:v>52.9</c:v>
                </c:pt>
                <c:pt idx="424">
                  <c:v>107.2</c:v>
                </c:pt>
                <c:pt idx="425">
                  <c:v>54.6</c:v>
                </c:pt>
                <c:pt idx="426">
                  <c:v>69.400000000000006</c:v>
                </c:pt>
                <c:pt idx="427">
                  <c:v>21.5</c:v>
                </c:pt>
                <c:pt idx="428">
                  <c:v>46.6</c:v>
                </c:pt>
                <c:pt idx="429">
                  <c:v>58.6</c:v>
                </c:pt>
                <c:pt idx="430">
                  <c:v>31.8</c:v>
                </c:pt>
                <c:pt idx="431">
                  <c:v>23.8</c:v>
                </c:pt>
                <c:pt idx="432">
                  <c:v>51.9</c:v>
                </c:pt>
                <c:pt idx="433">
                  <c:v>60.2</c:v>
                </c:pt>
                <c:pt idx="434">
                  <c:v>23.6</c:v>
                </c:pt>
                <c:pt idx="435">
                  <c:v>24.5</c:v>
                </c:pt>
                <c:pt idx="436">
                  <c:v>52.7</c:v>
                </c:pt>
                <c:pt idx="437">
                  <c:v>77.8</c:v>
                </c:pt>
                <c:pt idx="438">
                  <c:v>29.8</c:v>
                </c:pt>
                <c:pt idx="439">
                  <c:v>61.7</c:v>
                </c:pt>
                <c:pt idx="440">
                  <c:v>66.8</c:v>
                </c:pt>
                <c:pt idx="441">
                  <c:v>44</c:v>
                </c:pt>
                <c:pt idx="442">
                  <c:v>54.8</c:v>
                </c:pt>
                <c:pt idx="443">
                  <c:v>68</c:v>
                </c:pt>
                <c:pt idx="444">
                  <c:v>72.2</c:v>
                </c:pt>
                <c:pt idx="445">
                  <c:v>36.4</c:v>
                </c:pt>
                <c:pt idx="446">
                  <c:v>60.1</c:v>
                </c:pt>
                <c:pt idx="447">
                  <c:v>39.799999999999997</c:v>
                </c:pt>
                <c:pt idx="448">
                  <c:v>37.9</c:v>
                </c:pt>
                <c:pt idx="449">
                  <c:v>43.4</c:v>
                </c:pt>
                <c:pt idx="450">
                  <c:v>50.1</c:v>
                </c:pt>
                <c:pt idx="451">
                  <c:v>55.4</c:v>
                </c:pt>
                <c:pt idx="452">
                  <c:v>80.2</c:v>
                </c:pt>
                <c:pt idx="453">
                  <c:v>105.8</c:v>
                </c:pt>
                <c:pt idx="454">
                  <c:v>38</c:v>
                </c:pt>
                <c:pt idx="455">
                  <c:v>42.5</c:v>
                </c:pt>
                <c:pt idx="456">
                  <c:v>45.4</c:v>
                </c:pt>
                <c:pt idx="457">
                  <c:v>56.6</c:v>
                </c:pt>
                <c:pt idx="458">
                  <c:v>17.600000000000001</c:v>
                </c:pt>
                <c:pt idx="459">
                  <c:v>20.3</c:v>
                </c:pt>
                <c:pt idx="460">
                  <c:v>27.2</c:v>
                </c:pt>
                <c:pt idx="461">
                  <c:v>70.099999999999994</c:v>
                </c:pt>
                <c:pt idx="462">
                  <c:v>12.6</c:v>
                </c:pt>
                <c:pt idx="463">
                  <c:v>35.700000000000003</c:v>
                </c:pt>
                <c:pt idx="464">
                  <c:v>54.5</c:v>
                </c:pt>
                <c:pt idx="465">
                  <c:v>80.7</c:v>
                </c:pt>
                <c:pt idx="466">
                  <c:v>36.200000000000003</c:v>
                </c:pt>
                <c:pt idx="467">
                  <c:v>72.5</c:v>
                </c:pt>
                <c:pt idx="468">
                  <c:v>57.8</c:v>
                </c:pt>
                <c:pt idx="469">
                  <c:v>63.5</c:v>
                </c:pt>
                <c:pt idx="470">
                  <c:v>40</c:v>
                </c:pt>
                <c:pt idx="471">
                  <c:v>75.599999999999994</c:v>
                </c:pt>
                <c:pt idx="472">
                  <c:v>47.5</c:v>
                </c:pt>
                <c:pt idx="473">
                  <c:v>122</c:v>
                </c:pt>
                <c:pt idx="474">
                  <c:v>17.5</c:v>
                </c:pt>
                <c:pt idx="475">
                  <c:v>17.600000000000001</c:v>
                </c:pt>
                <c:pt idx="476">
                  <c:v>48.4</c:v>
                </c:pt>
                <c:pt idx="477">
                  <c:v>24.4</c:v>
                </c:pt>
                <c:pt idx="478">
                  <c:v>15.9</c:v>
                </c:pt>
                <c:pt idx="479">
                  <c:v>26.8</c:v>
                </c:pt>
                <c:pt idx="480">
                  <c:v>29.5</c:v>
                </c:pt>
                <c:pt idx="481">
                  <c:v>49.5</c:v>
                </c:pt>
                <c:pt idx="482">
                  <c:v>82</c:v>
                </c:pt>
                <c:pt idx="483">
                  <c:v>48.3</c:v>
                </c:pt>
                <c:pt idx="484">
                  <c:v>25.2</c:v>
                </c:pt>
                <c:pt idx="485">
                  <c:v>59</c:v>
                </c:pt>
                <c:pt idx="486">
                  <c:v>69.400000000000006</c:v>
                </c:pt>
                <c:pt idx="487">
                  <c:v>48.8</c:v>
                </c:pt>
                <c:pt idx="488">
                  <c:v>37.6</c:v>
                </c:pt>
                <c:pt idx="489">
                  <c:v>90.2</c:v>
                </c:pt>
                <c:pt idx="490">
                  <c:v>72.099999999999994</c:v>
                </c:pt>
                <c:pt idx="491">
                  <c:v>57.8</c:v>
                </c:pt>
                <c:pt idx="492">
                  <c:v>49.3</c:v>
                </c:pt>
                <c:pt idx="493">
                  <c:v>85.5</c:v>
                </c:pt>
                <c:pt idx="494">
                  <c:v>56.2</c:v>
                </c:pt>
                <c:pt idx="495">
                  <c:v>30.2</c:v>
                </c:pt>
                <c:pt idx="496">
                  <c:v>31.9</c:v>
                </c:pt>
                <c:pt idx="497">
                  <c:v>62.3</c:v>
                </c:pt>
                <c:pt idx="498">
                  <c:v>155.30000000000001</c:v>
                </c:pt>
                <c:pt idx="499">
                  <c:v>53.9</c:v>
                </c:pt>
                <c:pt idx="500">
                  <c:v>31.5</c:v>
                </c:pt>
                <c:pt idx="501">
                  <c:v>18.100000000000001</c:v>
                </c:pt>
                <c:pt idx="502">
                  <c:v>18.399999999999999</c:v>
                </c:pt>
                <c:pt idx="503">
                  <c:v>24.5</c:v>
                </c:pt>
                <c:pt idx="504">
                  <c:v>56.2</c:v>
                </c:pt>
                <c:pt idx="505">
                  <c:v>67.400000000000006</c:v>
                </c:pt>
                <c:pt idx="506">
                  <c:v>45.4</c:v>
                </c:pt>
                <c:pt idx="507">
                  <c:v>19.5</c:v>
                </c:pt>
                <c:pt idx="508">
                  <c:v>62.8</c:v>
                </c:pt>
                <c:pt idx="509">
                  <c:v>49</c:v>
                </c:pt>
                <c:pt idx="510">
                  <c:v>72.400000000000006</c:v>
                </c:pt>
                <c:pt idx="511">
                  <c:v>61.9</c:v>
                </c:pt>
                <c:pt idx="512">
                  <c:v>13.4</c:v>
                </c:pt>
                <c:pt idx="513">
                  <c:v>21.5</c:v>
                </c:pt>
                <c:pt idx="514">
                  <c:v>64.8</c:v>
                </c:pt>
                <c:pt idx="515">
                  <c:v>86</c:v>
                </c:pt>
                <c:pt idx="516">
                  <c:v>52.8</c:v>
                </c:pt>
                <c:pt idx="517">
                  <c:v>55.7</c:v>
                </c:pt>
                <c:pt idx="518">
                  <c:v>32.4</c:v>
                </c:pt>
                <c:pt idx="519">
                  <c:v>37.6</c:v>
                </c:pt>
                <c:pt idx="520">
                  <c:v>47.1</c:v>
                </c:pt>
                <c:pt idx="521">
                  <c:v>77.8</c:v>
                </c:pt>
                <c:pt idx="522">
                  <c:v>23.8</c:v>
                </c:pt>
                <c:pt idx="523">
                  <c:v>48.4</c:v>
                </c:pt>
                <c:pt idx="524">
                  <c:v>124.5</c:v>
                </c:pt>
                <c:pt idx="525">
                  <c:v>59</c:v>
                </c:pt>
                <c:pt idx="526">
                  <c:v>32.4</c:v>
                </c:pt>
                <c:pt idx="527">
                  <c:v>34.4</c:v>
                </c:pt>
                <c:pt idx="528">
                  <c:v>49.4</c:v>
                </c:pt>
                <c:pt idx="529">
                  <c:v>50.5</c:v>
                </c:pt>
                <c:pt idx="530">
                  <c:v>90.1</c:v>
                </c:pt>
                <c:pt idx="531">
                  <c:v>45.1</c:v>
                </c:pt>
                <c:pt idx="532">
                  <c:v>32</c:v>
                </c:pt>
                <c:pt idx="533">
                  <c:v>57.4</c:v>
                </c:pt>
                <c:pt idx="534">
                  <c:v>15.6</c:v>
                </c:pt>
                <c:pt idx="535">
                  <c:v>10.5</c:v>
                </c:pt>
                <c:pt idx="536">
                  <c:v>49.1</c:v>
                </c:pt>
                <c:pt idx="537">
                  <c:v>42.4</c:v>
                </c:pt>
                <c:pt idx="538">
                  <c:v>52.7</c:v>
                </c:pt>
                <c:pt idx="539">
                  <c:v>45.4</c:v>
                </c:pt>
                <c:pt idx="540">
                  <c:v>59.4</c:v>
                </c:pt>
                <c:pt idx="541">
                  <c:v>28.5</c:v>
                </c:pt>
                <c:pt idx="542">
                  <c:v>61.3</c:v>
                </c:pt>
                <c:pt idx="543">
                  <c:v>56.8</c:v>
                </c:pt>
                <c:pt idx="544">
                  <c:v>32.9</c:v>
                </c:pt>
                <c:pt idx="545">
                  <c:v>32</c:v>
                </c:pt>
                <c:pt idx="546">
                  <c:v>34.799999999999997</c:v>
                </c:pt>
                <c:pt idx="547">
                  <c:v>54.1</c:v>
                </c:pt>
                <c:pt idx="548">
                  <c:v>79.900000000000006</c:v>
                </c:pt>
                <c:pt idx="549">
                  <c:v>70.8</c:v>
                </c:pt>
                <c:pt idx="550">
                  <c:v>23.6</c:v>
                </c:pt>
                <c:pt idx="551">
                  <c:v>47</c:v>
                </c:pt>
                <c:pt idx="552">
                  <c:v>38</c:v>
                </c:pt>
                <c:pt idx="553">
                  <c:v>46.4</c:v>
                </c:pt>
                <c:pt idx="554">
                  <c:v>46.1</c:v>
                </c:pt>
                <c:pt idx="555">
                  <c:v>17.600000000000001</c:v>
                </c:pt>
                <c:pt idx="556">
                  <c:v>32.200000000000003</c:v>
                </c:pt>
                <c:pt idx="557">
                  <c:v>55.4</c:v>
                </c:pt>
                <c:pt idx="558">
                  <c:v>70.099999999999994</c:v>
                </c:pt>
                <c:pt idx="559">
                  <c:v>50</c:v>
                </c:pt>
                <c:pt idx="560">
                  <c:v>47</c:v>
                </c:pt>
                <c:pt idx="561">
                  <c:v>79.2</c:v>
                </c:pt>
                <c:pt idx="562">
                  <c:v>62</c:v>
                </c:pt>
                <c:pt idx="563">
                  <c:v>102.4</c:v>
                </c:pt>
                <c:pt idx="564">
                  <c:v>33.5</c:v>
                </c:pt>
                <c:pt idx="565">
                  <c:v>74</c:v>
                </c:pt>
                <c:pt idx="566">
                  <c:v>44.2</c:v>
                </c:pt>
                <c:pt idx="567">
                  <c:v>60.9</c:v>
                </c:pt>
                <c:pt idx="568">
                  <c:v>38.700000000000003</c:v>
                </c:pt>
                <c:pt idx="569">
                  <c:v>47.8</c:v>
                </c:pt>
                <c:pt idx="570">
                  <c:v>40</c:v>
                </c:pt>
                <c:pt idx="571">
                  <c:v>26.9</c:v>
                </c:pt>
                <c:pt idx="572">
                  <c:v>34.799999999999997</c:v>
                </c:pt>
                <c:pt idx="573">
                  <c:v>39.1</c:v>
                </c:pt>
                <c:pt idx="574">
                  <c:v>43</c:v>
                </c:pt>
                <c:pt idx="575">
                  <c:v>55.8</c:v>
                </c:pt>
                <c:pt idx="576">
                  <c:v>12.1</c:v>
                </c:pt>
                <c:pt idx="577">
                  <c:v>12.6</c:v>
                </c:pt>
                <c:pt idx="578">
                  <c:v>54.1</c:v>
                </c:pt>
                <c:pt idx="579">
                  <c:v>66.900000000000006</c:v>
                </c:pt>
                <c:pt idx="580">
                  <c:v>27.3</c:v>
                </c:pt>
                <c:pt idx="581">
                  <c:v>22.9</c:v>
                </c:pt>
                <c:pt idx="582">
                  <c:v>60.1</c:v>
                </c:pt>
                <c:pt idx="583">
                  <c:v>22.5</c:v>
                </c:pt>
                <c:pt idx="584">
                  <c:v>32.700000000000003</c:v>
                </c:pt>
                <c:pt idx="585">
                  <c:v>47.4</c:v>
                </c:pt>
                <c:pt idx="586">
                  <c:v>40.5</c:v>
                </c:pt>
                <c:pt idx="587">
                  <c:v>23.2</c:v>
                </c:pt>
                <c:pt idx="588">
                  <c:v>72.7</c:v>
                </c:pt>
                <c:pt idx="589">
                  <c:v>40</c:v>
                </c:pt>
                <c:pt idx="590">
                  <c:v>49.4</c:v>
                </c:pt>
                <c:pt idx="591">
                  <c:v>38.700000000000003</c:v>
                </c:pt>
                <c:pt idx="592">
                  <c:v>30.8</c:v>
                </c:pt>
                <c:pt idx="593">
                  <c:v>52.7</c:v>
                </c:pt>
                <c:pt idx="594">
                  <c:v>69.7</c:v>
                </c:pt>
                <c:pt idx="595">
                  <c:v>55</c:v>
                </c:pt>
                <c:pt idx="596">
                  <c:v>52.3</c:v>
                </c:pt>
                <c:pt idx="597">
                  <c:v>32.4</c:v>
                </c:pt>
                <c:pt idx="598">
                  <c:v>28.8</c:v>
                </c:pt>
                <c:pt idx="599">
                  <c:v>73.2</c:v>
                </c:pt>
                <c:pt idx="600">
                  <c:v>62.9</c:v>
                </c:pt>
              </c:numCache>
            </c:numRef>
          </c:xVal>
          <c:yVal>
            <c:numRef>
              <c:f>borrower_profiles!$B$2:$B$602</c:f>
              <c:numCache>
                <c:formatCode>General</c:formatCode>
                <c:ptCount val="60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B-445F-8FE4-E984D9D1F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03679"/>
        <c:axId val="170776463"/>
      </c:scatterChart>
      <c:valAx>
        <c:axId val="6280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6463"/>
        <c:crosses val="autoZero"/>
        <c:crossBetween val="midCat"/>
      </c:valAx>
      <c:valAx>
        <c:axId val="1707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Default Rate by Loan Purpose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borrower_profiles!$N$1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borrower_profiles!$M$2:$M$11</c:f>
              <c:strCache>
                <c:ptCount val="10"/>
                <c:pt idx="0">
                  <c:v>Auto Loan</c:v>
                </c:pt>
                <c:pt idx="1">
                  <c:v>Business Loan</c:v>
                </c:pt>
                <c:pt idx="2">
                  <c:v>Debt Consolidation</c:v>
                </c:pt>
                <c:pt idx="3">
                  <c:v>Education</c:v>
                </c:pt>
                <c:pt idx="4">
                  <c:v>Home Improvement</c:v>
                </c:pt>
                <c:pt idx="5">
                  <c:v>Major Purchase</c:v>
                </c:pt>
                <c:pt idx="6">
                  <c:v>Medical Expenses</c:v>
                </c:pt>
                <c:pt idx="7">
                  <c:v>Moving</c:v>
                </c:pt>
                <c:pt idx="8">
                  <c:v>Vacation</c:v>
                </c:pt>
                <c:pt idx="9">
                  <c:v>Wedding</c:v>
                </c:pt>
              </c:strCache>
            </c:strRef>
          </c:cat>
          <c:val>
            <c:numRef>
              <c:f>borrower_profiles!$N$2:$N$11</c:f>
              <c:numCache>
                <c:formatCode>General</c:formatCode>
                <c:ptCount val="10"/>
                <c:pt idx="0">
                  <c:v>0.27118644067796599</c:v>
                </c:pt>
                <c:pt idx="1">
                  <c:v>0.24137931034482801</c:v>
                </c:pt>
                <c:pt idx="2">
                  <c:v>0.21568627450980399</c:v>
                </c:pt>
                <c:pt idx="3">
                  <c:v>0.22641509433962301</c:v>
                </c:pt>
                <c:pt idx="4">
                  <c:v>0.28571428571428598</c:v>
                </c:pt>
                <c:pt idx="5">
                  <c:v>0.220588235294118</c:v>
                </c:pt>
                <c:pt idx="6">
                  <c:v>0.20588235294117599</c:v>
                </c:pt>
                <c:pt idx="7">
                  <c:v>0.214285714285714</c:v>
                </c:pt>
                <c:pt idx="8">
                  <c:v>0.225806451612903</c:v>
                </c:pt>
                <c:pt idx="9">
                  <c:v>0.32142857142857101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9-4D48-8071-F08AAC974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538271"/>
        <c:axId val="170846543"/>
      </c:barChart>
      <c:catAx>
        <c:axId val="53553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6543"/>
        <c:crosses val="autoZero"/>
        <c:auto val="1"/>
        <c:lblAlgn val="ctr"/>
        <c:lblOffset val="100"/>
        <c:noMultiLvlLbl val="0"/>
      </c:catAx>
      <c:valAx>
        <c:axId val="17084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598659</xdr:colOff>
      <xdr:row>7</xdr:row>
      <xdr:rowOff>137453</xdr:rowOff>
    </xdr:from>
    <xdr:to>
      <xdr:col>10</xdr:col>
      <xdr:colOff>967155</xdr:colOff>
      <xdr:row>22</xdr:row>
      <xdr:rowOff>137453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A7C1C-FBBA-9AEE-CF7C-95BE0BDE1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595338</xdr:colOff>
      <xdr:row>24</xdr:row>
      <xdr:rowOff>41128</xdr:rowOff>
    </xdr:from>
    <xdr:to>
      <xdr:col>10</xdr:col>
      <xdr:colOff>967155</xdr:colOff>
      <xdr:row>39</xdr:row>
      <xdr:rowOff>41128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36D50E-22FB-6D23-4FCB-D5A6CCD1B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566616</xdr:colOff>
      <xdr:row>11</xdr:row>
      <xdr:rowOff>181707</xdr:rowOff>
    </xdr:from>
    <xdr:to>
      <xdr:col>18</xdr:col>
      <xdr:colOff>127000</xdr:colOff>
      <xdr:row>26</xdr:row>
      <xdr:rowOff>140676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22868A-8C02-D9BD-F22B-868204458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EB2D1A-7B90-47A1-B6D3-6932F5EBCC9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2624755-1319-4885-ab7d-f2327b810f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C19-E193-4656-B3BA-8536FBEE28B6}">
  <dimension ref="A1:N602"/>
  <sheetViews>
    <sheetView tabSelected="1" zoomScale="78" zoomScaleNormal="78" workbookViewId="0">
      <selection activeCell="L19" sqref="L19"/>
    </sheetView>
  </sheetViews>
  <sheetFormatPr defaultRowHeight="14.4" x14ac:dyDescent="0.3"/>
  <cols>
    <col min="1" max="1" width="10.88671875" bestFit="1" customWidth="1"/>
    <col min="2" max="2" width="9" bestFit="1" customWidth="1"/>
    <col min="3" max="3" width="11.33203125" bestFit="1" customWidth="1"/>
    <col min="4" max="4" width="8" bestFit="1" customWidth="1"/>
    <col min="5" max="5" width="18.109375" bestFit="1" customWidth="1"/>
    <col min="7" max="7" width="9.21875" bestFit="1" customWidth="1"/>
    <col min="8" max="8" width="11.6640625" bestFit="1" customWidth="1"/>
    <col min="9" max="9" width="17.6640625" bestFit="1" customWidth="1"/>
    <col min="10" max="10" width="17.77734375" bestFit="1" customWidth="1"/>
    <col min="11" max="11" width="14.44140625" bestFit="1" customWidth="1"/>
    <col min="13" max="13" width="16.88671875" bestFit="1" customWidth="1"/>
    <col min="14" max="14" width="12" bestFit="1" customWidth="1"/>
    <col min="16" max="16" width="16.88671875" bestFit="1" customWidth="1"/>
    <col min="17" max="17" width="12" bestFit="1" customWidth="1"/>
  </cols>
  <sheetData>
    <row r="1" spans="1:14" x14ac:dyDescent="0.3">
      <c r="A1" s="2" t="s">
        <v>1</v>
      </c>
      <c r="B1" s="2" t="s">
        <v>8</v>
      </c>
      <c r="C1" s="2" t="s">
        <v>9</v>
      </c>
      <c r="D1" s="2" t="s">
        <v>10</v>
      </c>
      <c r="E1" s="2" t="s">
        <v>1136</v>
      </c>
      <c r="G1" s="2" t="s">
        <v>1128</v>
      </c>
      <c r="H1" s="2" t="s">
        <v>1129</v>
      </c>
      <c r="J1" s="2" t="s">
        <v>1138</v>
      </c>
      <c r="K1" s="2" t="s">
        <v>1139</v>
      </c>
      <c r="M1" s="2" t="s">
        <v>3</v>
      </c>
      <c r="N1" s="2" t="s">
        <v>1140</v>
      </c>
    </row>
    <row r="2" spans="1:14" x14ac:dyDescent="0.3">
      <c r="A2" s="3" t="s">
        <v>14</v>
      </c>
      <c r="B2" s="3">
        <v>0</v>
      </c>
      <c r="C2" s="3">
        <v>596</v>
      </c>
      <c r="D2" s="3">
        <v>55.5</v>
      </c>
      <c r="E2" s="3" t="str">
        <f>LOOKUP(C2,$G$2:$G$7,$H$2:$H$7)</f>
        <v>520-599</v>
      </c>
      <c r="G2" s="3">
        <v>0</v>
      </c>
      <c r="H2" s="3" t="s">
        <v>1130</v>
      </c>
      <c r="J2" s="3" t="s">
        <v>1131</v>
      </c>
      <c r="K2" s="4">
        <f>AVERAGEIFS($B$2:$B$602,$E$2:$E$602,J2)</f>
        <v>0.49137931034482757</v>
      </c>
      <c r="M2" s="3" t="s">
        <v>25</v>
      </c>
      <c r="N2" s="3">
        <v>0.27118644067796599</v>
      </c>
    </row>
    <row r="3" spans="1:14" x14ac:dyDescent="0.3">
      <c r="A3" s="3" t="s">
        <v>14</v>
      </c>
      <c r="B3" s="3">
        <v>1</v>
      </c>
      <c r="C3" s="3">
        <v>596</v>
      </c>
      <c r="D3" s="3">
        <v>40.4</v>
      </c>
      <c r="E3" s="3" t="str">
        <f>LOOKUP(C3,$G$2:$G$7,$H$2:$H$7)</f>
        <v>520-599</v>
      </c>
      <c r="G3" s="3">
        <v>520</v>
      </c>
      <c r="H3" s="3" t="s">
        <v>1131</v>
      </c>
      <c r="J3" s="3" t="s">
        <v>1132</v>
      </c>
      <c r="K3" s="4">
        <f>AVERAGEIFS($B$2:$B$602,$E$2:$E$602,J3)</f>
        <v>0.29032258064516131</v>
      </c>
      <c r="M3" s="3" t="s">
        <v>39</v>
      </c>
      <c r="N3" s="3">
        <v>0.24137931034482801</v>
      </c>
    </row>
    <row r="4" spans="1:14" x14ac:dyDescent="0.3">
      <c r="A4" s="3" t="s">
        <v>21</v>
      </c>
      <c r="B4" s="3">
        <v>0</v>
      </c>
      <c r="C4" s="3">
        <v>543</v>
      </c>
      <c r="D4" s="3">
        <v>70.5</v>
      </c>
      <c r="E4" s="3" t="str">
        <f>LOOKUP(C4,$G$2:$G$7,$H$2:$H$7)</f>
        <v>520-599</v>
      </c>
      <c r="G4" s="3">
        <v>600</v>
      </c>
      <c r="H4" s="3" t="s">
        <v>1132</v>
      </c>
      <c r="J4" s="3" t="s">
        <v>1133</v>
      </c>
      <c r="K4" s="4">
        <f>AVERAGEIFS($B$2:$B$602,$E$2:$E$602,J4)</f>
        <v>0.28000000000000003</v>
      </c>
      <c r="M4" s="3" t="s">
        <v>42</v>
      </c>
      <c r="N4" s="3">
        <v>0.21568627450980399</v>
      </c>
    </row>
    <row r="5" spans="1:14" x14ac:dyDescent="0.3">
      <c r="A5" s="3" t="s">
        <v>24</v>
      </c>
      <c r="B5" s="3">
        <v>1</v>
      </c>
      <c r="C5" s="3">
        <v>611</v>
      </c>
      <c r="D5" s="3">
        <v>59.8</v>
      </c>
      <c r="E5" s="3" t="str">
        <f>LOOKUP(C5,$G$2:$G$7,$H$2:$H$7)</f>
        <v>600-649</v>
      </c>
      <c r="G5" s="3">
        <v>650</v>
      </c>
      <c r="H5" s="3" t="s">
        <v>1133</v>
      </c>
      <c r="J5" s="3" t="s">
        <v>1134</v>
      </c>
      <c r="K5" s="4">
        <f>AVERAGEIFS($B$2:$B$602,$E$2:$E$602,J5)</f>
        <v>0.16279069767441862</v>
      </c>
      <c r="M5" s="3" t="s">
        <v>31</v>
      </c>
      <c r="N5" s="3">
        <v>0.22641509433962301</v>
      </c>
    </row>
    <row r="6" spans="1:14" x14ac:dyDescent="0.3">
      <c r="A6" s="3" t="s">
        <v>27</v>
      </c>
      <c r="B6" s="3">
        <v>0</v>
      </c>
      <c r="C6" s="3">
        <v>701</v>
      </c>
      <c r="D6" s="3">
        <v>44.1</v>
      </c>
      <c r="E6" s="3" t="str">
        <f>LOOKUP(C6,$G$2:$G$7,$H$2:$H$7)</f>
        <v>700-749</v>
      </c>
      <c r="G6" s="3">
        <v>700</v>
      </c>
      <c r="H6" s="3" t="s">
        <v>1134</v>
      </c>
      <c r="J6" s="3" t="s">
        <v>1135</v>
      </c>
      <c r="K6" s="4">
        <f>AVERAGEIFS($B$2:$B$602,$E$2:$E$602,J6)</f>
        <v>0.11688311688311688</v>
      </c>
      <c r="M6" s="3" t="s">
        <v>37</v>
      </c>
      <c r="N6" s="3">
        <v>0.28571428571428598</v>
      </c>
    </row>
    <row r="7" spans="1:14" x14ac:dyDescent="0.3">
      <c r="A7" s="3" t="s">
        <v>30</v>
      </c>
      <c r="B7" s="3">
        <v>0</v>
      </c>
      <c r="C7" s="3">
        <v>715</v>
      </c>
      <c r="D7" s="3">
        <v>37.1</v>
      </c>
      <c r="E7" s="3" t="str">
        <f>LOOKUP(C7,$G$2:$G$7,$H$2:$H$7)</f>
        <v>700-749</v>
      </c>
      <c r="G7" s="3">
        <v>750</v>
      </c>
      <c r="H7" s="3" t="s">
        <v>1135</v>
      </c>
      <c r="M7" s="3" t="s">
        <v>18</v>
      </c>
      <c r="N7" s="3">
        <v>0.220588235294118</v>
      </c>
    </row>
    <row r="8" spans="1:14" x14ac:dyDescent="0.3">
      <c r="A8" s="3" t="s">
        <v>33</v>
      </c>
      <c r="B8" s="3">
        <v>0</v>
      </c>
      <c r="C8" s="3">
        <v>749</v>
      </c>
      <c r="D8" s="3">
        <v>49.9</v>
      </c>
      <c r="E8" s="3" t="str">
        <f>LOOKUP(C8,$G$2:$G$7,$H$2:$H$7)</f>
        <v>700-749</v>
      </c>
      <c r="M8" s="3" t="s">
        <v>34</v>
      </c>
      <c r="N8" s="3">
        <v>0.20588235294117599</v>
      </c>
    </row>
    <row r="9" spans="1:14" x14ac:dyDescent="0.3">
      <c r="A9" s="3" t="s">
        <v>36</v>
      </c>
      <c r="B9" s="3">
        <v>1</v>
      </c>
      <c r="C9" s="3">
        <v>576</v>
      </c>
      <c r="D9" s="3">
        <v>38.200000000000003</v>
      </c>
      <c r="E9" s="3" t="str">
        <f>LOOKUP(C9,$G$2:$G$7,$H$2:$H$7)</f>
        <v>520-599</v>
      </c>
      <c r="M9" s="3" t="s">
        <v>22</v>
      </c>
      <c r="N9" s="3">
        <v>0.214285714285714</v>
      </c>
    </row>
    <row r="10" spans="1:14" x14ac:dyDescent="0.3">
      <c r="A10" s="3" t="s">
        <v>36</v>
      </c>
      <c r="B10" s="3">
        <v>0</v>
      </c>
      <c r="C10" s="3">
        <v>576</v>
      </c>
      <c r="D10" s="3">
        <v>36.799999999999997</v>
      </c>
      <c r="E10" s="3" t="str">
        <f>LOOKUP(C10,$G$2:$G$7,$H$2:$H$7)</f>
        <v>520-599</v>
      </c>
      <c r="M10" s="3" t="s">
        <v>15</v>
      </c>
      <c r="N10" s="3">
        <v>0.225806451612903</v>
      </c>
    </row>
    <row r="11" spans="1:14" x14ac:dyDescent="0.3">
      <c r="A11" s="3" t="s">
        <v>41</v>
      </c>
      <c r="B11" s="3">
        <v>1</v>
      </c>
      <c r="C11" s="3">
        <v>563</v>
      </c>
      <c r="D11" s="3">
        <v>67.8</v>
      </c>
      <c r="E11" s="3" t="str">
        <f>LOOKUP(C11,$G$2:$G$7,$H$2:$H$7)</f>
        <v>520-599</v>
      </c>
      <c r="M11" s="3" t="s">
        <v>48</v>
      </c>
      <c r="N11" s="3">
        <v>0.32142857142857101</v>
      </c>
    </row>
    <row r="12" spans="1:14" x14ac:dyDescent="0.3">
      <c r="A12" s="3" t="s">
        <v>44</v>
      </c>
      <c r="B12" s="3">
        <v>0</v>
      </c>
      <c r="C12" s="3">
        <v>643</v>
      </c>
      <c r="D12" s="3">
        <v>18.600000000000001</v>
      </c>
      <c r="E12" s="3" t="str">
        <f>LOOKUP(C12,$G$2:$G$7,$H$2:$H$7)</f>
        <v>600-649</v>
      </c>
    </row>
    <row r="13" spans="1:14" x14ac:dyDescent="0.3">
      <c r="A13" s="3" t="s">
        <v>44</v>
      </c>
      <c r="B13" s="3">
        <v>0</v>
      </c>
      <c r="C13" s="3">
        <v>643</v>
      </c>
      <c r="D13" s="3">
        <v>13.5</v>
      </c>
      <c r="E13" s="3" t="str">
        <f>LOOKUP(C13,$G$2:$G$7,$H$2:$H$7)</f>
        <v>600-649</v>
      </c>
    </row>
    <row r="14" spans="1:14" x14ac:dyDescent="0.3">
      <c r="A14" s="3" t="s">
        <v>47</v>
      </c>
      <c r="B14" s="3">
        <v>0</v>
      </c>
      <c r="C14" s="3">
        <v>824</v>
      </c>
      <c r="D14" s="3">
        <v>126</v>
      </c>
      <c r="E14" s="3" t="str">
        <f>LOOKUP(C14,$G$2:$G$7,$H$2:$H$7)</f>
        <v>750+</v>
      </c>
    </row>
    <row r="15" spans="1:14" x14ac:dyDescent="0.3">
      <c r="A15" s="3" t="s">
        <v>50</v>
      </c>
      <c r="B15" s="3">
        <v>0</v>
      </c>
      <c r="C15" s="3">
        <v>586</v>
      </c>
      <c r="D15" s="3">
        <v>63.6</v>
      </c>
      <c r="E15" s="3" t="str">
        <f>LOOKUP(C15,$G$2:$G$7,$H$2:$H$7)</f>
        <v>520-599</v>
      </c>
    </row>
    <row r="16" spans="1:14" x14ac:dyDescent="0.3">
      <c r="A16" s="3" t="s">
        <v>52</v>
      </c>
      <c r="B16" s="3">
        <v>0</v>
      </c>
      <c r="C16" s="3">
        <v>813</v>
      </c>
      <c r="D16" s="3">
        <v>48.3</v>
      </c>
      <c r="E16" s="3" t="str">
        <f>LOOKUP(C16,$G$2:$G$7,$H$2:$H$7)</f>
        <v>750+</v>
      </c>
    </row>
    <row r="17" spans="1:5" x14ac:dyDescent="0.3">
      <c r="A17" s="3" t="s">
        <v>52</v>
      </c>
      <c r="B17" s="3">
        <v>1</v>
      </c>
      <c r="C17" s="3">
        <v>813</v>
      </c>
      <c r="D17" s="3">
        <v>44.5</v>
      </c>
      <c r="E17" s="3" t="str">
        <f>LOOKUP(C17,$G$2:$G$7,$H$2:$H$7)</f>
        <v>750+</v>
      </c>
    </row>
    <row r="18" spans="1:5" x14ac:dyDescent="0.3">
      <c r="A18" s="3" t="s">
        <v>55</v>
      </c>
      <c r="B18" s="3">
        <v>0</v>
      </c>
      <c r="C18" s="3">
        <v>615</v>
      </c>
      <c r="D18" s="3">
        <v>18.8</v>
      </c>
      <c r="E18" s="3" t="str">
        <f>LOOKUP(C18,$G$2:$G$7,$H$2:$H$7)</f>
        <v>600-649</v>
      </c>
    </row>
    <row r="19" spans="1:5" x14ac:dyDescent="0.3">
      <c r="A19" s="3" t="s">
        <v>55</v>
      </c>
      <c r="B19" s="3">
        <v>0</v>
      </c>
      <c r="C19" s="3">
        <v>615</v>
      </c>
      <c r="D19" s="3">
        <v>30.1</v>
      </c>
      <c r="E19" s="3" t="str">
        <f>LOOKUP(C19,$G$2:$G$7,$H$2:$H$7)</f>
        <v>600-649</v>
      </c>
    </row>
    <row r="20" spans="1:5" x14ac:dyDescent="0.3">
      <c r="A20" s="3" t="s">
        <v>58</v>
      </c>
      <c r="B20" s="3">
        <v>1</v>
      </c>
      <c r="C20" s="3">
        <v>850</v>
      </c>
      <c r="D20" s="3">
        <v>41.4</v>
      </c>
      <c r="E20" s="3" t="str">
        <f>LOOKUP(C20,$G$2:$G$7,$H$2:$H$7)</f>
        <v>750+</v>
      </c>
    </row>
    <row r="21" spans="1:5" x14ac:dyDescent="0.3">
      <c r="A21" s="3" t="s">
        <v>60</v>
      </c>
      <c r="B21" s="3">
        <v>0</v>
      </c>
      <c r="C21" s="3">
        <v>535</v>
      </c>
      <c r="D21" s="3">
        <v>52.5</v>
      </c>
      <c r="E21" s="3" t="str">
        <f>LOOKUP(C21,$G$2:$G$7,$H$2:$H$7)</f>
        <v>520-599</v>
      </c>
    </row>
    <row r="22" spans="1:5" x14ac:dyDescent="0.3">
      <c r="A22" s="3" t="s">
        <v>62</v>
      </c>
      <c r="B22" s="3">
        <v>0</v>
      </c>
      <c r="C22" s="3">
        <v>570</v>
      </c>
      <c r="D22" s="3">
        <v>88.1</v>
      </c>
      <c r="E22" s="3" t="str">
        <f>LOOKUP(C22,$G$2:$G$7,$H$2:$H$7)</f>
        <v>520-599</v>
      </c>
    </row>
    <row r="23" spans="1:5" x14ac:dyDescent="0.3">
      <c r="A23" s="3" t="s">
        <v>65</v>
      </c>
      <c r="B23" s="3">
        <v>0</v>
      </c>
      <c r="C23" s="3">
        <v>665</v>
      </c>
      <c r="D23" s="3">
        <v>69.400000000000006</v>
      </c>
      <c r="E23" s="3" t="str">
        <f>LOOKUP(C23,$G$2:$G$7,$H$2:$H$7)</f>
        <v>650-699</v>
      </c>
    </row>
    <row r="24" spans="1:5" x14ac:dyDescent="0.3">
      <c r="A24" s="3" t="s">
        <v>67</v>
      </c>
      <c r="B24" s="3">
        <v>0</v>
      </c>
      <c r="C24" s="3">
        <v>726</v>
      </c>
      <c r="D24" s="3">
        <v>18.899999999999999</v>
      </c>
      <c r="E24" s="3" t="str">
        <f>LOOKUP(C24,$G$2:$G$7,$H$2:$H$7)</f>
        <v>700-749</v>
      </c>
    </row>
    <row r="25" spans="1:5" x14ac:dyDescent="0.3">
      <c r="A25" s="3" t="s">
        <v>69</v>
      </c>
      <c r="B25" s="3">
        <v>0</v>
      </c>
      <c r="C25" s="3">
        <v>528</v>
      </c>
      <c r="D25" s="3">
        <v>112.8</v>
      </c>
      <c r="E25" s="3" t="str">
        <f>LOOKUP(C25,$G$2:$G$7,$H$2:$H$7)</f>
        <v>520-599</v>
      </c>
    </row>
    <row r="26" spans="1:5" x14ac:dyDescent="0.3">
      <c r="A26" s="3" t="s">
        <v>71</v>
      </c>
      <c r="B26" s="3">
        <v>0</v>
      </c>
      <c r="C26" s="3">
        <v>639</v>
      </c>
      <c r="D26" s="3">
        <v>62.4</v>
      </c>
      <c r="E26" s="3" t="str">
        <f>LOOKUP(C26,$G$2:$G$7,$H$2:$H$7)</f>
        <v>600-649</v>
      </c>
    </row>
    <row r="27" spans="1:5" x14ac:dyDescent="0.3">
      <c r="A27" s="3" t="s">
        <v>73</v>
      </c>
      <c r="B27" s="3">
        <v>1</v>
      </c>
      <c r="C27" s="3">
        <v>584</v>
      </c>
      <c r="D27" s="3">
        <v>60</v>
      </c>
      <c r="E27" s="3" t="str">
        <f>LOOKUP(C27,$G$2:$G$7,$H$2:$H$7)</f>
        <v>520-599</v>
      </c>
    </row>
    <row r="28" spans="1:5" x14ac:dyDescent="0.3">
      <c r="A28" s="3" t="s">
        <v>73</v>
      </c>
      <c r="B28" s="3">
        <v>0</v>
      </c>
      <c r="C28" s="3">
        <v>584</v>
      </c>
      <c r="D28" s="3">
        <v>51.7</v>
      </c>
      <c r="E28" s="3" t="str">
        <f>LOOKUP(C28,$G$2:$G$7,$H$2:$H$7)</f>
        <v>520-599</v>
      </c>
    </row>
    <row r="29" spans="1:5" x14ac:dyDescent="0.3">
      <c r="A29" s="3" t="s">
        <v>76</v>
      </c>
      <c r="B29" s="3">
        <v>0</v>
      </c>
      <c r="C29" s="3">
        <v>698</v>
      </c>
      <c r="D29" s="3">
        <v>29.2</v>
      </c>
      <c r="E29" s="3" t="str">
        <f>LOOKUP(C29,$G$2:$G$7,$H$2:$H$7)</f>
        <v>650-699</v>
      </c>
    </row>
    <row r="30" spans="1:5" x14ac:dyDescent="0.3">
      <c r="A30" s="3" t="s">
        <v>76</v>
      </c>
      <c r="B30" s="3">
        <v>0</v>
      </c>
      <c r="C30" s="3">
        <v>698</v>
      </c>
      <c r="D30" s="3">
        <v>25.9</v>
      </c>
      <c r="E30" s="3" t="str">
        <f>LOOKUP(C30,$G$2:$G$7,$H$2:$H$7)</f>
        <v>650-699</v>
      </c>
    </row>
    <row r="31" spans="1:5" x14ac:dyDescent="0.3">
      <c r="A31" s="3" t="s">
        <v>79</v>
      </c>
      <c r="B31" s="3">
        <v>0</v>
      </c>
      <c r="C31" s="3">
        <v>761</v>
      </c>
      <c r="D31" s="3">
        <v>87.7</v>
      </c>
      <c r="E31" s="3" t="str">
        <f>LOOKUP(C31,$G$2:$G$7,$H$2:$H$7)</f>
        <v>750+</v>
      </c>
    </row>
    <row r="32" spans="1:5" x14ac:dyDescent="0.3">
      <c r="A32" s="3" t="s">
        <v>79</v>
      </c>
      <c r="B32" s="3">
        <v>0</v>
      </c>
      <c r="C32" s="3">
        <v>761</v>
      </c>
      <c r="D32" s="3">
        <v>54.1</v>
      </c>
      <c r="E32" s="3" t="str">
        <f>LOOKUP(C32,$G$2:$G$7,$H$2:$H$7)</f>
        <v>750+</v>
      </c>
    </row>
    <row r="33" spans="1:5" x14ac:dyDescent="0.3">
      <c r="A33" s="3" t="s">
        <v>82</v>
      </c>
      <c r="B33" s="3">
        <v>0</v>
      </c>
      <c r="C33" s="3">
        <v>661</v>
      </c>
      <c r="D33" s="3">
        <v>47.5</v>
      </c>
      <c r="E33" s="3" t="str">
        <f>LOOKUP(C33,$G$2:$G$7,$H$2:$H$7)</f>
        <v>650-699</v>
      </c>
    </row>
    <row r="34" spans="1:5" x14ac:dyDescent="0.3">
      <c r="A34" s="3" t="s">
        <v>84</v>
      </c>
      <c r="B34" s="3">
        <v>1</v>
      </c>
      <c r="C34" s="3">
        <v>757</v>
      </c>
      <c r="D34" s="3">
        <v>58.9</v>
      </c>
      <c r="E34" s="3" t="str">
        <f>LOOKUP(C34,$G$2:$G$7,$H$2:$H$7)</f>
        <v>750+</v>
      </c>
    </row>
    <row r="35" spans="1:5" x14ac:dyDescent="0.3">
      <c r="A35" s="3" t="s">
        <v>86</v>
      </c>
      <c r="B35" s="3">
        <v>0</v>
      </c>
      <c r="C35" s="3">
        <v>559</v>
      </c>
      <c r="D35" s="3">
        <v>58.7</v>
      </c>
      <c r="E35" s="3" t="str">
        <f>LOOKUP(C35,$G$2:$G$7,$H$2:$H$7)</f>
        <v>520-599</v>
      </c>
    </row>
    <row r="36" spans="1:5" x14ac:dyDescent="0.3">
      <c r="A36" s="3" t="s">
        <v>88</v>
      </c>
      <c r="B36" s="3">
        <v>0</v>
      </c>
      <c r="C36" s="3">
        <v>790</v>
      </c>
      <c r="D36" s="3">
        <v>53.8</v>
      </c>
      <c r="E36" s="3" t="str">
        <f>LOOKUP(C36,$G$2:$G$7,$H$2:$H$7)</f>
        <v>750+</v>
      </c>
    </row>
    <row r="37" spans="1:5" x14ac:dyDescent="0.3">
      <c r="A37" s="3" t="s">
        <v>90</v>
      </c>
      <c r="B37" s="3">
        <v>0</v>
      </c>
      <c r="C37" s="3">
        <v>826</v>
      </c>
      <c r="D37" s="3">
        <v>65.3</v>
      </c>
      <c r="E37" s="3" t="str">
        <f>LOOKUP(C37,$G$2:$G$7,$H$2:$H$7)</f>
        <v>750+</v>
      </c>
    </row>
    <row r="38" spans="1:5" x14ac:dyDescent="0.3">
      <c r="A38" s="3" t="s">
        <v>92</v>
      </c>
      <c r="B38" s="3">
        <v>1</v>
      </c>
      <c r="C38" s="3">
        <v>667</v>
      </c>
      <c r="D38" s="3">
        <v>29.3</v>
      </c>
      <c r="E38" s="3" t="str">
        <f>LOOKUP(C38,$G$2:$G$7,$H$2:$H$7)</f>
        <v>650-699</v>
      </c>
    </row>
    <row r="39" spans="1:5" x14ac:dyDescent="0.3">
      <c r="A39" s="3" t="s">
        <v>94</v>
      </c>
      <c r="B39" s="3">
        <v>0</v>
      </c>
      <c r="C39" s="3">
        <v>576</v>
      </c>
      <c r="D39" s="3">
        <v>77.2</v>
      </c>
      <c r="E39" s="3" t="str">
        <f>LOOKUP(C39,$G$2:$G$7,$H$2:$H$7)</f>
        <v>520-599</v>
      </c>
    </row>
    <row r="40" spans="1:5" x14ac:dyDescent="0.3">
      <c r="A40" s="3" t="s">
        <v>96</v>
      </c>
      <c r="B40" s="3">
        <v>0</v>
      </c>
      <c r="C40" s="3">
        <v>813</v>
      </c>
      <c r="D40" s="3">
        <v>42.1</v>
      </c>
      <c r="E40" s="3" t="str">
        <f>LOOKUP(C40,$G$2:$G$7,$H$2:$H$7)</f>
        <v>750+</v>
      </c>
    </row>
    <row r="41" spans="1:5" x14ac:dyDescent="0.3">
      <c r="A41" s="3" t="s">
        <v>98</v>
      </c>
      <c r="B41" s="3">
        <v>0</v>
      </c>
      <c r="C41" s="3">
        <v>603</v>
      </c>
      <c r="D41" s="3">
        <v>37.5</v>
      </c>
      <c r="E41" s="3" t="str">
        <f>LOOKUP(C41,$G$2:$G$7,$H$2:$H$7)</f>
        <v>600-649</v>
      </c>
    </row>
    <row r="42" spans="1:5" x14ac:dyDescent="0.3">
      <c r="A42" s="3" t="s">
        <v>100</v>
      </c>
      <c r="B42" s="3">
        <v>0</v>
      </c>
      <c r="C42" s="3">
        <v>850</v>
      </c>
      <c r="D42" s="3">
        <v>58.8</v>
      </c>
      <c r="E42" s="3" t="str">
        <f>LOOKUP(C42,$G$2:$G$7,$H$2:$H$7)</f>
        <v>750+</v>
      </c>
    </row>
    <row r="43" spans="1:5" x14ac:dyDescent="0.3">
      <c r="A43" s="3" t="s">
        <v>102</v>
      </c>
      <c r="B43" s="3">
        <v>1</v>
      </c>
      <c r="C43" s="3">
        <v>700</v>
      </c>
      <c r="D43" s="3">
        <v>30.9</v>
      </c>
      <c r="E43" s="3" t="str">
        <f>LOOKUP(C43,$G$2:$G$7,$H$2:$H$7)</f>
        <v>700-749</v>
      </c>
    </row>
    <row r="44" spans="1:5" x14ac:dyDescent="0.3">
      <c r="A44" s="3" t="s">
        <v>102</v>
      </c>
      <c r="B44" s="3">
        <v>0</v>
      </c>
      <c r="C44" s="3">
        <v>700</v>
      </c>
      <c r="D44" s="3">
        <v>36.799999999999997</v>
      </c>
      <c r="E44" s="3" t="str">
        <f>LOOKUP(C44,$G$2:$G$7,$H$2:$H$7)</f>
        <v>700-749</v>
      </c>
    </row>
    <row r="45" spans="1:5" x14ac:dyDescent="0.3">
      <c r="A45" s="3" t="s">
        <v>105</v>
      </c>
      <c r="B45" s="3">
        <v>1</v>
      </c>
      <c r="C45" s="3">
        <v>606</v>
      </c>
      <c r="D45" s="3">
        <v>18.399999999999999</v>
      </c>
      <c r="E45" s="3" t="str">
        <f>LOOKUP(C45,$G$2:$G$7,$H$2:$H$7)</f>
        <v>600-649</v>
      </c>
    </row>
    <row r="46" spans="1:5" x14ac:dyDescent="0.3">
      <c r="A46" s="3" t="s">
        <v>105</v>
      </c>
      <c r="B46" s="3">
        <v>1</v>
      </c>
      <c r="C46" s="3">
        <v>606</v>
      </c>
      <c r="D46" s="3">
        <v>79.599999999999994</v>
      </c>
      <c r="E46" s="3" t="str">
        <f>LOOKUP(C46,$G$2:$G$7,$H$2:$H$7)</f>
        <v>600-649</v>
      </c>
    </row>
    <row r="47" spans="1:5" x14ac:dyDescent="0.3">
      <c r="A47" s="3" t="s">
        <v>108</v>
      </c>
      <c r="B47" s="3">
        <v>0</v>
      </c>
      <c r="C47" s="3">
        <v>550</v>
      </c>
      <c r="D47" s="3">
        <v>32.200000000000003</v>
      </c>
      <c r="E47" s="3" t="str">
        <f>LOOKUP(C47,$G$2:$G$7,$H$2:$H$7)</f>
        <v>520-599</v>
      </c>
    </row>
    <row r="48" spans="1:5" x14ac:dyDescent="0.3">
      <c r="A48" s="3" t="s">
        <v>110</v>
      </c>
      <c r="B48" s="3">
        <v>1</v>
      </c>
      <c r="C48" s="3">
        <v>624</v>
      </c>
      <c r="D48" s="3">
        <v>93.8</v>
      </c>
      <c r="E48" s="3" t="str">
        <f>LOOKUP(C48,$G$2:$G$7,$H$2:$H$7)</f>
        <v>600-649</v>
      </c>
    </row>
    <row r="49" spans="1:5" x14ac:dyDescent="0.3">
      <c r="A49" s="3" t="s">
        <v>112</v>
      </c>
      <c r="B49" s="3">
        <v>0</v>
      </c>
      <c r="C49" s="3">
        <v>735</v>
      </c>
      <c r="D49" s="3">
        <v>29.4</v>
      </c>
      <c r="E49" s="3" t="str">
        <f>LOOKUP(C49,$G$2:$G$7,$H$2:$H$7)</f>
        <v>700-749</v>
      </c>
    </row>
    <row r="50" spans="1:5" x14ac:dyDescent="0.3">
      <c r="A50" s="3" t="s">
        <v>112</v>
      </c>
      <c r="B50" s="3">
        <v>0</v>
      </c>
      <c r="C50" s="3">
        <v>735</v>
      </c>
      <c r="D50" s="3">
        <v>36.5</v>
      </c>
      <c r="E50" s="3" t="str">
        <f>LOOKUP(C50,$G$2:$G$7,$H$2:$H$7)</f>
        <v>700-749</v>
      </c>
    </row>
    <row r="51" spans="1:5" x14ac:dyDescent="0.3">
      <c r="A51" s="3" t="s">
        <v>115</v>
      </c>
      <c r="B51" s="3">
        <v>0</v>
      </c>
      <c r="C51" s="3">
        <v>785</v>
      </c>
      <c r="D51" s="3">
        <v>26.2</v>
      </c>
      <c r="E51" s="3" t="str">
        <f>LOOKUP(C51,$G$2:$G$7,$H$2:$H$7)</f>
        <v>750+</v>
      </c>
    </row>
    <row r="52" spans="1:5" x14ac:dyDescent="0.3">
      <c r="A52" s="3" t="s">
        <v>117</v>
      </c>
      <c r="B52" s="3">
        <v>0</v>
      </c>
      <c r="C52" s="3">
        <v>672</v>
      </c>
      <c r="D52" s="3">
        <v>65.400000000000006</v>
      </c>
      <c r="E52" s="3" t="str">
        <f>LOOKUP(C52,$G$2:$G$7,$H$2:$H$7)</f>
        <v>650-699</v>
      </c>
    </row>
    <row r="53" spans="1:5" x14ac:dyDescent="0.3">
      <c r="A53" s="3" t="s">
        <v>119</v>
      </c>
      <c r="B53" s="3">
        <v>0</v>
      </c>
      <c r="C53" s="3">
        <v>641</v>
      </c>
      <c r="D53" s="3">
        <v>39.299999999999997</v>
      </c>
      <c r="E53" s="3" t="str">
        <f>LOOKUP(C53,$G$2:$G$7,$H$2:$H$7)</f>
        <v>600-649</v>
      </c>
    </row>
    <row r="54" spans="1:5" x14ac:dyDescent="0.3">
      <c r="A54" s="3" t="s">
        <v>119</v>
      </c>
      <c r="B54" s="3">
        <v>0</v>
      </c>
      <c r="C54" s="3">
        <v>641</v>
      </c>
      <c r="D54" s="3">
        <v>39.1</v>
      </c>
      <c r="E54" s="3" t="str">
        <f>LOOKUP(C54,$G$2:$G$7,$H$2:$H$7)</f>
        <v>600-649</v>
      </c>
    </row>
    <row r="55" spans="1:5" x14ac:dyDescent="0.3">
      <c r="A55" s="3" t="s">
        <v>122</v>
      </c>
      <c r="B55" s="3">
        <v>0</v>
      </c>
      <c r="C55" s="3">
        <v>806</v>
      </c>
      <c r="D55" s="3">
        <v>10.9</v>
      </c>
      <c r="E55" s="3" t="str">
        <f>LOOKUP(C55,$G$2:$G$7,$H$2:$H$7)</f>
        <v>750+</v>
      </c>
    </row>
    <row r="56" spans="1:5" x14ac:dyDescent="0.3">
      <c r="A56" s="3" t="s">
        <v>124</v>
      </c>
      <c r="B56" s="3">
        <v>0</v>
      </c>
      <c r="C56" s="3">
        <v>625</v>
      </c>
      <c r="D56" s="3">
        <v>41.3</v>
      </c>
      <c r="E56" s="3" t="str">
        <f>LOOKUP(C56,$G$2:$G$7,$H$2:$H$7)</f>
        <v>600-649</v>
      </c>
    </row>
    <row r="57" spans="1:5" x14ac:dyDescent="0.3">
      <c r="A57" s="3" t="s">
        <v>126</v>
      </c>
      <c r="B57" s="3">
        <v>0</v>
      </c>
      <c r="C57" s="3">
        <v>698</v>
      </c>
      <c r="D57" s="3">
        <v>31.5</v>
      </c>
      <c r="E57" s="3" t="str">
        <f>LOOKUP(C57,$G$2:$G$7,$H$2:$H$7)</f>
        <v>650-699</v>
      </c>
    </row>
    <row r="58" spans="1:5" x14ac:dyDescent="0.3">
      <c r="A58" s="3" t="s">
        <v>128</v>
      </c>
      <c r="B58" s="3">
        <v>0</v>
      </c>
      <c r="C58" s="3">
        <v>629</v>
      </c>
      <c r="D58" s="3">
        <v>7.6</v>
      </c>
      <c r="E58" s="3" t="str">
        <f>LOOKUP(C58,$G$2:$G$7,$H$2:$H$7)</f>
        <v>600-649</v>
      </c>
    </row>
    <row r="59" spans="1:5" x14ac:dyDescent="0.3">
      <c r="A59" s="3" t="s">
        <v>130</v>
      </c>
      <c r="B59" s="3">
        <v>0</v>
      </c>
      <c r="C59" s="3">
        <v>694</v>
      </c>
      <c r="D59" s="3">
        <v>38.700000000000003</v>
      </c>
      <c r="E59" s="3" t="str">
        <f>LOOKUP(C59,$G$2:$G$7,$H$2:$H$7)</f>
        <v>650-699</v>
      </c>
    </row>
    <row r="60" spans="1:5" x14ac:dyDescent="0.3">
      <c r="A60" s="3" t="s">
        <v>132</v>
      </c>
      <c r="B60" s="3">
        <v>0</v>
      </c>
      <c r="C60" s="3">
        <v>850</v>
      </c>
      <c r="D60" s="3">
        <v>28.8</v>
      </c>
      <c r="E60" s="3" t="str">
        <f>LOOKUP(C60,$G$2:$G$7,$H$2:$H$7)</f>
        <v>750+</v>
      </c>
    </row>
    <row r="61" spans="1:5" x14ac:dyDescent="0.3">
      <c r="A61" s="3" t="s">
        <v>134</v>
      </c>
      <c r="B61" s="3">
        <v>0</v>
      </c>
      <c r="C61" s="3">
        <v>842</v>
      </c>
      <c r="D61" s="3">
        <v>64.900000000000006</v>
      </c>
      <c r="E61" s="3" t="str">
        <f>LOOKUP(C61,$G$2:$G$7,$H$2:$H$7)</f>
        <v>750+</v>
      </c>
    </row>
    <row r="62" spans="1:5" x14ac:dyDescent="0.3">
      <c r="A62" s="3" t="s">
        <v>136</v>
      </c>
      <c r="B62" s="3">
        <v>1</v>
      </c>
      <c r="C62" s="3">
        <v>615</v>
      </c>
      <c r="D62" s="3">
        <v>53</v>
      </c>
      <c r="E62" s="3" t="str">
        <f>LOOKUP(C62,$G$2:$G$7,$H$2:$H$7)</f>
        <v>600-649</v>
      </c>
    </row>
    <row r="63" spans="1:5" x14ac:dyDescent="0.3">
      <c r="A63" s="3" t="s">
        <v>138</v>
      </c>
      <c r="B63" s="3">
        <v>0</v>
      </c>
      <c r="C63" s="3">
        <v>815</v>
      </c>
      <c r="D63" s="3">
        <v>13</v>
      </c>
      <c r="E63" s="3" t="str">
        <f>LOOKUP(C63,$G$2:$G$7,$H$2:$H$7)</f>
        <v>750+</v>
      </c>
    </row>
    <row r="64" spans="1:5" x14ac:dyDescent="0.3">
      <c r="A64" s="3" t="s">
        <v>140</v>
      </c>
      <c r="B64" s="3">
        <v>0</v>
      </c>
      <c r="C64" s="3">
        <v>850</v>
      </c>
      <c r="D64" s="3">
        <v>53.3</v>
      </c>
      <c r="E64" s="3" t="str">
        <f>LOOKUP(C64,$G$2:$G$7,$H$2:$H$7)</f>
        <v>750+</v>
      </c>
    </row>
    <row r="65" spans="1:5" x14ac:dyDescent="0.3">
      <c r="A65" s="3" t="s">
        <v>142</v>
      </c>
      <c r="B65" s="3">
        <v>0</v>
      </c>
      <c r="C65" s="3">
        <v>616</v>
      </c>
      <c r="D65" s="3">
        <v>43.4</v>
      </c>
      <c r="E65" s="3" t="str">
        <f>LOOKUP(C65,$G$2:$G$7,$H$2:$H$7)</f>
        <v>600-649</v>
      </c>
    </row>
    <row r="66" spans="1:5" x14ac:dyDescent="0.3">
      <c r="A66" s="3" t="s">
        <v>142</v>
      </c>
      <c r="B66" s="3">
        <v>0</v>
      </c>
      <c r="C66" s="3">
        <v>616</v>
      </c>
      <c r="D66" s="3">
        <v>48.8</v>
      </c>
      <c r="E66" s="3" t="str">
        <f>LOOKUP(C66,$G$2:$G$7,$H$2:$H$7)</f>
        <v>600-649</v>
      </c>
    </row>
    <row r="67" spans="1:5" x14ac:dyDescent="0.3">
      <c r="A67" s="3" t="s">
        <v>145</v>
      </c>
      <c r="B67" s="3">
        <v>1</v>
      </c>
      <c r="C67" s="3">
        <v>681</v>
      </c>
      <c r="D67" s="3">
        <v>18.600000000000001</v>
      </c>
      <c r="E67" s="3" t="str">
        <f>LOOKUP(C67,$G$2:$G$7,$H$2:$H$7)</f>
        <v>650-699</v>
      </c>
    </row>
    <row r="68" spans="1:5" x14ac:dyDescent="0.3">
      <c r="A68" s="3" t="s">
        <v>147</v>
      </c>
      <c r="B68" s="3">
        <v>1</v>
      </c>
      <c r="C68" s="3">
        <v>567</v>
      </c>
      <c r="D68" s="3">
        <v>72.599999999999994</v>
      </c>
      <c r="E68" s="3" t="str">
        <f>LOOKUP(C68,$G$2:$G$7,$H$2:$H$7)</f>
        <v>520-599</v>
      </c>
    </row>
    <row r="69" spans="1:5" x14ac:dyDescent="0.3">
      <c r="A69" s="3" t="s">
        <v>149</v>
      </c>
      <c r="B69" s="3">
        <v>0</v>
      </c>
      <c r="C69" s="3">
        <v>555</v>
      </c>
      <c r="D69" s="3">
        <v>14.8</v>
      </c>
      <c r="E69" s="3" t="str">
        <f>LOOKUP(C69,$G$2:$G$7,$H$2:$H$7)</f>
        <v>520-599</v>
      </c>
    </row>
    <row r="70" spans="1:5" x14ac:dyDescent="0.3">
      <c r="A70" s="3" t="s">
        <v>151</v>
      </c>
      <c r="B70" s="3">
        <v>1</v>
      </c>
      <c r="C70" s="3">
        <v>749</v>
      </c>
      <c r="D70" s="3">
        <v>63.1</v>
      </c>
      <c r="E70" s="3" t="str">
        <f>LOOKUP(C70,$G$2:$G$7,$H$2:$H$7)</f>
        <v>700-749</v>
      </c>
    </row>
    <row r="71" spans="1:5" x14ac:dyDescent="0.3">
      <c r="A71" s="3" t="s">
        <v>153</v>
      </c>
      <c r="B71" s="3">
        <v>0</v>
      </c>
      <c r="C71" s="3">
        <v>697</v>
      </c>
      <c r="D71" s="3">
        <v>27.8</v>
      </c>
      <c r="E71" s="3" t="str">
        <f>LOOKUP(C71,$G$2:$G$7,$H$2:$H$7)</f>
        <v>650-699</v>
      </c>
    </row>
    <row r="72" spans="1:5" x14ac:dyDescent="0.3">
      <c r="A72" s="3" t="s">
        <v>155</v>
      </c>
      <c r="B72" s="3">
        <v>0</v>
      </c>
      <c r="C72" s="3">
        <v>548</v>
      </c>
      <c r="D72" s="3">
        <v>36.299999999999997</v>
      </c>
      <c r="E72" s="3" t="str">
        <f>LOOKUP(C72,$G$2:$G$7,$H$2:$H$7)</f>
        <v>520-599</v>
      </c>
    </row>
    <row r="73" spans="1:5" x14ac:dyDescent="0.3">
      <c r="A73" s="3" t="s">
        <v>155</v>
      </c>
      <c r="B73" s="3">
        <v>0</v>
      </c>
      <c r="C73" s="3">
        <v>548</v>
      </c>
      <c r="D73" s="3">
        <v>17.7</v>
      </c>
      <c r="E73" s="3" t="str">
        <f>LOOKUP(C73,$G$2:$G$7,$H$2:$H$7)</f>
        <v>520-599</v>
      </c>
    </row>
    <row r="74" spans="1:5" x14ac:dyDescent="0.3">
      <c r="A74" s="3" t="s">
        <v>158</v>
      </c>
      <c r="B74" s="3">
        <v>1</v>
      </c>
      <c r="C74" s="3">
        <v>729</v>
      </c>
      <c r="D74" s="3">
        <v>52</v>
      </c>
      <c r="E74" s="3" t="str">
        <f>LOOKUP(C74,$G$2:$G$7,$H$2:$H$7)</f>
        <v>700-749</v>
      </c>
    </row>
    <row r="75" spans="1:5" x14ac:dyDescent="0.3">
      <c r="A75" s="3" t="s">
        <v>160</v>
      </c>
      <c r="B75" s="3">
        <v>0</v>
      </c>
      <c r="C75" s="3">
        <v>709</v>
      </c>
      <c r="D75" s="3">
        <v>10.5</v>
      </c>
      <c r="E75" s="3" t="str">
        <f>LOOKUP(C75,$G$2:$G$7,$H$2:$H$7)</f>
        <v>700-749</v>
      </c>
    </row>
    <row r="76" spans="1:5" x14ac:dyDescent="0.3">
      <c r="A76" s="3" t="s">
        <v>162</v>
      </c>
      <c r="B76" s="3">
        <v>1</v>
      </c>
      <c r="C76" s="3">
        <v>608</v>
      </c>
      <c r="D76" s="3">
        <v>67.2</v>
      </c>
      <c r="E76" s="3" t="str">
        <f>LOOKUP(C76,$G$2:$G$7,$H$2:$H$7)</f>
        <v>600-649</v>
      </c>
    </row>
    <row r="77" spans="1:5" x14ac:dyDescent="0.3">
      <c r="A77" s="3" t="s">
        <v>164</v>
      </c>
      <c r="B77" s="3">
        <v>0</v>
      </c>
      <c r="C77" s="3">
        <v>840</v>
      </c>
      <c r="D77" s="3">
        <v>53.2</v>
      </c>
      <c r="E77" s="3" t="str">
        <f>LOOKUP(C77,$G$2:$G$7,$H$2:$H$7)</f>
        <v>750+</v>
      </c>
    </row>
    <row r="78" spans="1:5" x14ac:dyDescent="0.3">
      <c r="A78" s="3" t="s">
        <v>164</v>
      </c>
      <c r="B78" s="3">
        <v>0</v>
      </c>
      <c r="C78" s="3">
        <v>840</v>
      </c>
      <c r="D78" s="3">
        <v>12.6</v>
      </c>
      <c r="E78" s="3" t="str">
        <f>LOOKUP(C78,$G$2:$G$7,$H$2:$H$7)</f>
        <v>750+</v>
      </c>
    </row>
    <row r="79" spans="1:5" x14ac:dyDescent="0.3">
      <c r="A79" s="3" t="s">
        <v>167</v>
      </c>
      <c r="B79" s="3">
        <v>0</v>
      </c>
      <c r="C79" s="3">
        <v>727</v>
      </c>
      <c r="D79" s="3">
        <v>47.9</v>
      </c>
      <c r="E79" s="3" t="str">
        <f>LOOKUP(C79,$G$2:$G$7,$H$2:$H$7)</f>
        <v>700-749</v>
      </c>
    </row>
    <row r="80" spans="1:5" x14ac:dyDescent="0.3">
      <c r="A80" s="3" t="s">
        <v>169</v>
      </c>
      <c r="B80" s="3">
        <v>0</v>
      </c>
      <c r="C80" s="3">
        <v>837</v>
      </c>
      <c r="D80" s="3">
        <v>36</v>
      </c>
      <c r="E80" s="3" t="str">
        <f>LOOKUP(C80,$G$2:$G$7,$H$2:$H$7)</f>
        <v>750+</v>
      </c>
    </row>
    <row r="81" spans="1:5" x14ac:dyDescent="0.3">
      <c r="A81" s="3" t="s">
        <v>171</v>
      </c>
      <c r="B81" s="3">
        <v>1</v>
      </c>
      <c r="C81" s="3">
        <v>546</v>
      </c>
      <c r="D81" s="3">
        <v>86.4</v>
      </c>
      <c r="E81" s="3" t="str">
        <f>LOOKUP(C81,$G$2:$G$7,$H$2:$H$7)</f>
        <v>520-599</v>
      </c>
    </row>
    <row r="82" spans="1:5" x14ac:dyDescent="0.3">
      <c r="A82" s="3" t="s">
        <v>171</v>
      </c>
      <c r="B82" s="3">
        <v>1</v>
      </c>
      <c r="C82" s="3">
        <v>546</v>
      </c>
      <c r="D82" s="3">
        <v>83.8</v>
      </c>
      <c r="E82" s="3" t="str">
        <f>LOOKUP(C82,$G$2:$G$7,$H$2:$H$7)</f>
        <v>520-599</v>
      </c>
    </row>
    <row r="83" spans="1:5" x14ac:dyDescent="0.3">
      <c r="A83" s="3" t="s">
        <v>174</v>
      </c>
      <c r="B83" s="3">
        <v>0</v>
      </c>
      <c r="C83" s="3">
        <v>625</v>
      </c>
      <c r="D83" s="3">
        <v>76.900000000000006</v>
      </c>
      <c r="E83" s="3" t="str">
        <f>LOOKUP(C83,$G$2:$G$7,$H$2:$H$7)</f>
        <v>600-649</v>
      </c>
    </row>
    <row r="84" spans="1:5" x14ac:dyDescent="0.3">
      <c r="A84" s="3" t="s">
        <v>174</v>
      </c>
      <c r="B84" s="3">
        <v>0</v>
      </c>
      <c r="C84" s="3">
        <v>625</v>
      </c>
      <c r="D84" s="3">
        <v>118.6</v>
      </c>
      <c r="E84" s="3" t="str">
        <f>LOOKUP(C84,$G$2:$G$7,$H$2:$H$7)</f>
        <v>600-649</v>
      </c>
    </row>
    <row r="85" spans="1:5" x14ac:dyDescent="0.3">
      <c r="A85" s="3" t="s">
        <v>177</v>
      </c>
      <c r="B85" s="3">
        <v>0</v>
      </c>
      <c r="C85" s="3">
        <v>700</v>
      </c>
      <c r="D85" s="3">
        <v>40</v>
      </c>
      <c r="E85" s="3" t="str">
        <f>LOOKUP(C85,$G$2:$G$7,$H$2:$H$7)</f>
        <v>700-749</v>
      </c>
    </row>
    <row r="86" spans="1:5" x14ac:dyDescent="0.3">
      <c r="A86" s="3" t="s">
        <v>179</v>
      </c>
      <c r="B86" s="3">
        <v>0</v>
      </c>
      <c r="C86" s="3">
        <v>788</v>
      </c>
      <c r="D86" s="3">
        <v>51.2</v>
      </c>
      <c r="E86" s="3" t="str">
        <f>LOOKUP(C86,$G$2:$G$7,$H$2:$H$7)</f>
        <v>750+</v>
      </c>
    </row>
    <row r="87" spans="1:5" x14ac:dyDescent="0.3">
      <c r="A87" s="3" t="s">
        <v>181</v>
      </c>
      <c r="B87" s="3">
        <v>0</v>
      </c>
      <c r="C87" s="3">
        <v>540</v>
      </c>
      <c r="D87" s="3">
        <v>39.700000000000003</v>
      </c>
      <c r="E87" s="3" t="str">
        <f>LOOKUP(C87,$G$2:$G$7,$H$2:$H$7)</f>
        <v>520-599</v>
      </c>
    </row>
    <row r="88" spans="1:5" x14ac:dyDescent="0.3">
      <c r="A88" s="3" t="s">
        <v>183</v>
      </c>
      <c r="B88" s="3">
        <v>0</v>
      </c>
      <c r="C88" s="3">
        <v>796</v>
      </c>
      <c r="D88" s="3">
        <v>27.5</v>
      </c>
      <c r="E88" s="3" t="str">
        <f>LOOKUP(C88,$G$2:$G$7,$H$2:$H$7)</f>
        <v>750+</v>
      </c>
    </row>
    <row r="89" spans="1:5" x14ac:dyDescent="0.3">
      <c r="A89" s="3" t="s">
        <v>183</v>
      </c>
      <c r="B89" s="3">
        <v>0</v>
      </c>
      <c r="C89" s="3">
        <v>796</v>
      </c>
      <c r="D89" s="3">
        <v>37.6</v>
      </c>
      <c r="E89" s="3" t="str">
        <f>LOOKUP(C89,$G$2:$G$7,$H$2:$H$7)</f>
        <v>750+</v>
      </c>
    </row>
    <row r="90" spans="1:5" x14ac:dyDescent="0.3">
      <c r="A90" s="3" t="s">
        <v>186</v>
      </c>
      <c r="B90" s="3">
        <v>0</v>
      </c>
      <c r="C90" s="3">
        <v>796</v>
      </c>
      <c r="D90" s="3">
        <v>56.6</v>
      </c>
      <c r="E90" s="3" t="str">
        <f>LOOKUP(C90,$G$2:$G$7,$H$2:$H$7)</f>
        <v>750+</v>
      </c>
    </row>
    <row r="91" spans="1:5" x14ac:dyDescent="0.3">
      <c r="A91" s="3" t="s">
        <v>186</v>
      </c>
      <c r="B91" s="3">
        <v>0</v>
      </c>
      <c r="C91" s="3">
        <v>796</v>
      </c>
      <c r="D91" s="3">
        <v>36.200000000000003</v>
      </c>
      <c r="E91" s="3" t="str">
        <f>LOOKUP(C91,$G$2:$G$7,$H$2:$H$7)</f>
        <v>750+</v>
      </c>
    </row>
    <row r="92" spans="1:5" x14ac:dyDescent="0.3">
      <c r="A92" s="3" t="s">
        <v>189</v>
      </c>
      <c r="B92" s="3">
        <v>1</v>
      </c>
      <c r="C92" s="3">
        <v>623</v>
      </c>
      <c r="D92" s="3">
        <v>70.400000000000006</v>
      </c>
      <c r="E92" s="3" t="str">
        <f>LOOKUP(C92,$G$2:$G$7,$H$2:$H$7)</f>
        <v>600-649</v>
      </c>
    </row>
    <row r="93" spans="1:5" x14ac:dyDescent="0.3">
      <c r="A93" s="3" t="s">
        <v>191</v>
      </c>
      <c r="B93" s="3">
        <v>0</v>
      </c>
      <c r="C93" s="3">
        <v>803</v>
      </c>
      <c r="D93" s="3">
        <v>29.3</v>
      </c>
      <c r="E93" s="3" t="str">
        <f>LOOKUP(C93,$G$2:$G$7,$H$2:$H$7)</f>
        <v>750+</v>
      </c>
    </row>
    <row r="94" spans="1:5" x14ac:dyDescent="0.3">
      <c r="A94" s="3" t="s">
        <v>193</v>
      </c>
      <c r="B94" s="3">
        <v>1</v>
      </c>
      <c r="C94" s="3">
        <v>670</v>
      </c>
      <c r="D94" s="3">
        <v>74.900000000000006</v>
      </c>
      <c r="E94" s="3" t="str">
        <f>LOOKUP(C94,$G$2:$G$7,$H$2:$H$7)</f>
        <v>650-699</v>
      </c>
    </row>
    <row r="95" spans="1:5" x14ac:dyDescent="0.3">
      <c r="A95" s="3" t="s">
        <v>195</v>
      </c>
      <c r="B95" s="3">
        <v>0</v>
      </c>
      <c r="C95" s="3">
        <v>843</v>
      </c>
      <c r="D95" s="3">
        <v>56.7</v>
      </c>
      <c r="E95" s="3" t="str">
        <f>LOOKUP(C95,$G$2:$G$7,$H$2:$H$7)</f>
        <v>750+</v>
      </c>
    </row>
    <row r="96" spans="1:5" x14ac:dyDescent="0.3">
      <c r="A96" s="3" t="s">
        <v>197</v>
      </c>
      <c r="B96" s="3">
        <v>0</v>
      </c>
      <c r="C96" s="3">
        <v>755</v>
      </c>
      <c r="D96" s="3">
        <v>21.1</v>
      </c>
      <c r="E96" s="3" t="str">
        <f>LOOKUP(C96,$G$2:$G$7,$H$2:$H$7)</f>
        <v>750+</v>
      </c>
    </row>
    <row r="97" spans="1:5" x14ac:dyDescent="0.3">
      <c r="A97" s="3" t="s">
        <v>199</v>
      </c>
      <c r="B97" s="3">
        <v>0</v>
      </c>
      <c r="C97" s="3">
        <v>820</v>
      </c>
      <c r="D97" s="3">
        <v>45.4</v>
      </c>
      <c r="E97" s="3" t="str">
        <f>LOOKUP(C97,$G$2:$G$7,$H$2:$H$7)</f>
        <v>750+</v>
      </c>
    </row>
    <row r="98" spans="1:5" x14ac:dyDescent="0.3">
      <c r="A98" s="3" t="s">
        <v>201</v>
      </c>
      <c r="B98" s="3">
        <v>0</v>
      </c>
      <c r="C98" s="3">
        <v>759</v>
      </c>
      <c r="D98" s="3">
        <v>92.5</v>
      </c>
      <c r="E98" s="3" t="str">
        <f>LOOKUP(C98,$G$2:$G$7,$H$2:$H$7)</f>
        <v>750+</v>
      </c>
    </row>
    <row r="99" spans="1:5" x14ac:dyDescent="0.3">
      <c r="A99" s="3" t="s">
        <v>203</v>
      </c>
      <c r="B99" s="3">
        <v>0</v>
      </c>
      <c r="C99" s="3">
        <v>652</v>
      </c>
      <c r="D99" s="3">
        <v>37.799999999999997</v>
      </c>
      <c r="E99" s="3" t="str">
        <f>LOOKUP(C99,$G$2:$G$7,$H$2:$H$7)</f>
        <v>650-699</v>
      </c>
    </row>
    <row r="100" spans="1:5" x14ac:dyDescent="0.3">
      <c r="A100" s="3" t="s">
        <v>205</v>
      </c>
      <c r="B100" s="3">
        <v>0</v>
      </c>
      <c r="C100" s="3">
        <v>674</v>
      </c>
      <c r="D100" s="3">
        <v>58.2</v>
      </c>
      <c r="E100" s="3" t="str">
        <f>LOOKUP(C100,$G$2:$G$7,$H$2:$H$7)</f>
        <v>650-699</v>
      </c>
    </row>
    <row r="101" spans="1:5" x14ac:dyDescent="0.3">
      <c r="A101" s="3" t="s">
        <v>205</v>
      </c>
      <c r="B101" s="3">
        <v>0</v>
      </c>
      <c r="C101" s="3">
        <v>674</v>
      </c>
      <c r="D101" s="3">
        <v>51.4</v>
      </c>
      <c r="E101" s="3" t="str">
        <f>LOOKUP(C101,$G$2:$G$7,$H$2:$H$7)</f>
        <v>650-699</v>
      </c>
    </row>
    <row r="102" spans="1:5" x14ac:dyDescent="0.3">
      <c r="A102" s="3" t="s">
        <v>208</v>
      </c>
      <c r="B102" s="3">
        <v>1</v>
      </c>
      <c r="C102" s="3">
        <v>588</v>
      </c>
      <c r="D102" s="3">
        <v>59.3</v>
      </c>
      <c r="E102" s="3" t="str">
        <f>LOOKUP(C102,$G$2:$G$7,$H$2:$H$7)</f>
        <v>520-599</v>
      </c>
    </row>
    <row r="103" spans="1:5" x14ac:dyDescent="0.3">
      <c r="A103" s="3" t="s">
        <v>210</v>
      </c>
      <c r="B103" s="3">
        <v>0</v>
      </c>
      <c r="C103" s="3">
        <v>821</v>
      </c>
      <c r="D103" s="3">
        <v>51.6</v>
      </c>
      <c r="E103" s="3" t="str">
        <f>LOOKUP(C103,$G$2:$G$7,$H$2:$H$7)</f>
        <v>750+</v>
      </c>
    </row>
    <row r="104" spans="1:5" x14ac:dyDescent="0.3">
      <c r="A104" s="3" t="s">
        <v>212</v>
      </c>
      <c r="B104" s="3">
        <v>0</v>
      </c>
      <c r="C104" s="3">
        <v>550</v>
      </c>
      <c r="D104" s="3">
        <v>18.7</v>
      </c>
      <c r="E104" s="3" t="str">
        <f>LOOKUP(C104,$G$2:$G$7,$H$2:$H$7)</f>
        <v>520-599</v>
      </c>
    </row>
    <row r="105" spans="1:5" x14ac:dyDescent="0.3">
      <c r="A105" s="3" t="s">
        <v>214</v>
      </c>
      <c r="B105" s="3">
        <v>0</v>
      </c>
      <c r="C105" s="3">
        <v>672</v>
      </c>
      <c r="D105" s="3">
        <v>41.2</v>
      </c>
      <c r="E105" s="3" t="str">
        <f>LOOKUP(C105,$G$2:$G$7,$H$2:$H$7)</f>
        <v>650-699</v>
      </c>
    </row>
    <row r="106" spans="1:5" x14ac:dyDescent="0.3">
      <c r="A106" s="3" t="s">
        <v>214</v>
      </c>
      <c r="B106" s="3">
        <v>0</v>
      </c>
      <c r="C106" s="3">
        <v>672</v>
      </c>
      <c r="D106" s="3">
        <v>80.2</v>
      </c>
      <c r="E106" s="3" t="str">
        <f>LOOKUP(C106,$G$2:$G$7,$H$2:$H$7)</f>
        <v>650-699</v>
      </c>
    </row>
    <row r="107" spans="1:5" x14ac:dyDescent="0.3">
      <c r="A107" s="3" t="s">
        <v>217</v>
      </c>
      <c r="B107" s="3">
        <v>0</v>
      </c>
      <c r="C107" s="3">
        <v>776</v>
      </c>
      <c r="D107" s="3">
        <v>63.7</v>
      </c>
      <c r="E107" s="3" t="str">
        <f>LOOKUP(C107,$G$2:$G$7,$H$2:$H$7)</f>
        <v>750+</v>
      </c>
    </row>
    <row r="108" spans="1:5" x14ac:dyDescent="0.3">
      <c r="A108" s="3" t="s">
        <v>219</v>
      </c>
      <c r="B108" s="3">
        <v>0</v>
      </c>
      <c r="C108" s="3">
        <v>735</v>
      </c>
      <c r="D108" s="3">
        <v>33.299999999999997</v>
      </c>
      <c r="E108" s="3" t="str">
        <f>LOOKUP(C108,$G$2:$G$7,$H$2:$H$7)</f>
        <v>700-749</v>
      </c>
    </row>
    <row r="109" spans="1:5" x14ac:dyDescent="0.3">
      <c r="A109" s="3" t="s">
        <v>221</v>
      </c>
      <c r="B109" s="3">
        <v>1</v>
      </c>
      <c r="C109" s="3">
        <v>550</v>
      </c>
      <c r="D109" s="3">
        <v>29.3</v>
      </c>
      <c r="E109" s="3" t="str">
        <f>LOOKUP(C109,$G$2:$G$7,$H$2:$H$7)</f>
        <v>520-599</v>
      </c>
    </row>
    <row r="110" spans="1:5" x14ac:dyDescent="0.3">
      <c r="A110" s="3" t="s">
        <v>223</v>
      </c>
      <c r="B110" s="3">
        <v>0</v>
      </c>
      <c r="C110" s="3">
        <v>811</v>
      </c>
      <c r="D110" s="3">
        <v>45.9</v>
      </c>
      <c r="E110" s="3" t="str">
        <f>LOOKUP(C110,$G$2:$G$7,$H$2:$H$7)</f>
        <v>750+</v>
      </c>
    </row>
    <row r="111" spans="1:5" x14ac:dyDescent="0.3">
      <c r="A111" s="3" t="s">
        <v>225</v>
      </c>
      <c r="B111" s="3">
        <v>1</v>
      </c>
      <c r="C111" s="3">
        <v>611</v>
      </c>
      <c r="D111" s="3">
        <v>26.5</v>
      </c>
      <c r="E111" s="3" t="str">
        <f>LOOKUP(C111,$G$2:$G$7,$H$2:$H$7)</f>
        <v>600-649</v>
      </c>
    </row>
    <row r="112" spans="1:5" x14ac:dyDescent="0.3">
      <c r="A112" s="3" t="s">
        <v>227</v>
      </c>
      <c r="B112" s="3">
        <v>0</v>
      </c>
      <c r="C112" s="3">
        <v>795</v>
      </c>
      <c r="D112" s="3">
        <v>32.200000000000003</v>
      </c>
      <c r="E112" s="3" t="str">
        <f>LOOKUP(C112,$G$2:$G$7,$H$2:$H$7)</f>
        <v>750+</v>
      </c>
    </row>
    <row r="113" spans="1:5" x14ac:dyDescent="0.3">
      <c r="A113" s="3" t="s">
        <v>229</v>
      </c>
      <c r="B113" s="3">
        <v>0</v>
      </c>
      <c r="C113" s="3">
        <v>831</v>
      </c>
      <c r="D113" s="3">
        <v>94.1</v>
      </c>
      <c r="E113" s="3" t="str">
        <f>LOOKUP(C113,$G$2:$G$7,$H$2:$H$7)</f>
        <v>750+</v>
      </c>
    </row>
    <row r="114" spans="1:5" x14ac:dyDescent="0.3">
      <c r="A114" s="3" t="s">
        <v>231</v>
      </c>
      <c r="B114" s="3">
        <v>1</v>
      </c>
      <c r="C114" s="3">
        <v>531</v>
      </c>
      <c r="D114" s="3">
        <v>65.599999999999994</v>
      </c>
      <c r="E114" s="3" t="str">
        <f>LOOKUP(C114,$G$2:$G$7,$H$2:$H$7)</f>
        <v>520-599</v>
      </c>
    </row>
    <row r="115" spans="1:5" x14ac:dyDescent="0.3">
      <c r="A115" s="3" t="s">
        <v>231</v>
      </c>
      <c r="B115" s="3">
        <v>1</v>
      </c>
      <c r="C115" s="3">
        <v>531</v>
      </c>
      <c r="D115" s="3">
        <v>142.30000000000001</v>
      </c>
      <c r="E115" s="3" t="str">
        <f>LOOKUP(C115,$G$2:$G$7,$H$2:$H$7)</f>
        <v>520-599</v>
      </c>
    </row>
    <row r="116" spans="1:5" x14ac:dyDescent="0.3">
      <c r="A116" s="3" t="s">
        <v>234</v>
      </c>
      <c r="B116" s="3">
        <v>0</v>
      </c>
      <c r="C116" s="3">
        <v>710</v>
      </c>
      <c r="D116" s="3">
        <v>65.2</v>
      </c>
      <c r="E116" s="3" t="str">
        <f>LOOKUP(C116,$G$2:$G$7,$H$2:$H$7)</f>
        <v>700-749</v>
      </c>
    </row>
    <row r="117" spans="1:5" x14ac:dyDescent="0.3">
      <c r="A117" s="3" t="s">
        <v>236</v>
      </c>
      <c r="B117" s="3">
        <v>0</v>
      </c>
      <c r="C117" s="3">
        <v>562</v>
      </c>
      <c r="D117" s="3">
        <v>80.8</v>
      </c>
      <c r="E117" s="3" t="str">
        <f>LOOKUP(C117,$G$2:$G$7,$H$2:$H$7)</f>
        <v>520-599</v>
      </c>
    </row>
    <row r="118" spans="1:5" x14ac:dyDescent="0.3">
      <c r="A118" s="3" t="s">
        <v>238</v>
      </c>
      <c r="B118" s="3">
        <v>0</v>
      </c>
      <c r="C118" s="3">
        <v>553</v>
      </c>
      <c r="D118" s="3">
        <v>32.200000000000003</v>
      </c>
      <c r="E118" s="3" t="str">
        <f>LOOKUP(C118,$G$2:$G$7,$H$2:$H$7)</f>
        <v>520-599</v>
      </c>
    </row>
    <row r="119" spans="1:5" x14ac:dyDescent="0.3">
      <c r="A119" s="3" t="s">
        <v>238</v>
      </c>
      <c r="B119" s="3">
        <v>0</v>
      </c>
      <c r="C119" s="3">
        <v>553</v>
      </c>
      <c r="D119" s="3">
        <v>32.6</v>
      </c>
      <c r="E119" s="3" t="str">
        <f>LOOKUP(C119,$G$2:$G$7,$H$2:$H$7)</f>
        <v>520-599</v>
      </c>
    </row>
    <row r="120" spans="1:5" x14ac:dyDescent="0.3">
      <c r="A120" s="3" t="s">
        <v>241</v>
      </c>
      <c r="B120" s="3">
        <v>1</v>
      </c>
      <c r="C120" s="3">
        <v>598</v>
      </c>
      <c r="D120" s="3">
        <v>61.8</v>
      </c>
      <c r="E120" s="3" t="str">
        <f>LOOKUP(C120,$G$2:$G$7,$H$2:$H$7)</f>
        <v>520-599</v>
      </c>
    </row>
    <row r="121" spans="1:5" x14ac:dyDescent="0.3">
      <c r="A121" s="3" t="s">
        <v>243</v>
      </c>
      <c r="B121" s="3">
        <v>1</v>
      </c>
      <c r="C121" s="3">
        <v>698</v>
      </c>
      <c r="D121" s="3">
        <v>68.099999999999994</v>
      </c>
      <c r="E121" s="3" t="str">
        <f>LOOKUP(C121,$G$2:$G$7,$H$2:$H$7)</f>
        <v>650-699</v>
      </c>
    </row>
    <row r="122" spans="1:5" x14ac:dyDescent="0.3">
      <c r="A122" s="3" t="s">
        <v>245</v>
      </c>
      <c r="B122" s="3">
        <v>0</v>
      </c>
      <c r="C122" s="3">
        <v>850</v>
      </c>
      <c r="D122" s="3">
        <v>72.8</v>
      </c>
      <c r="E122" s="3" t="str">
        <f>LOOKUP(C122,$G$2:$G$7,$H$2:$H$7)</f>
        <v>750+</v>
      </c>
    </row>
    <row r="123" spans="1:5" x14ac:dyDescent="0.3">
      <c r="A123" s="3" t="s">
        <v>247</v>
      </c>
      <c r="B123" s="3">
        <v>1</v>
      </c>
      <c r="C123" s="3">
        <v>688</v>
      </c>
      <c r="D123" s="3">
        <v>42.6</v>
      </c>
      <c r="E123" s="3" t="str">
        <f>LOOKUP(C123,$G$2:$G$7,$H$2:$H$7)</f>
        <v>650-699</v>
      </c>
    </row>
    <row r="124" spans="1:5" x14ac:dyDescent="0.3">
      <c r="A124" s="3" t="s">
        <v>249</v>
      </c>
      <c r="B124" s="3">
        <v>0</v>
      </c>
      <c r="C124" s="3">
        <v>622</v>
      </c>
      <c r="D124" s="3">
        <v>49.3</v>
      </c>
      <c r="E124" s="3" t="str">
        <f>LOOKUP(C124,$G$2:$G$7,$H$2:$H$7)</f>
        <v>600-649</v>
      </c>
    </row>
    <row r="125" spans="1:5" x14ac:dyDescent="0.3">
      <c r="A125" s="3" t="s">
        <v>251</v>
      </c>
      <c r="B125" s="3">
        <v>0</v>
      </c>
      <c r="C125" s="3">
        <v>850</v>
      </c>
      <c r="D125" s="3">
        <v>52.7</v>
      </c>
      <c r="E125" s="3" t="str">
        <f>LOOKUP(C125,$G$2:$G$7,$H$2:$H$7)</f>
        <v>750+</v>
      </c>
    </row>
    <row r="126" spans="1:5" x14ac:dyDescent="0.3">
      <c r="A126" s="3" t="s">
        <v>253</v>
      </c>
      <c r="B126" s="3">
        <v>0</v>
      </c>
      <c r="C126" s="3">
        <v>711</v>
      </c>
      <c r="D126" s="3">
        <v>88.9</v>
      </c>
      <c r="E126" s="3" t="str">
        <f>LOOKUP(C126,$G$2:$G$7,$H$2:$H$7)</f>
        <v>700-749</v>
      </c>
    </row>
    <row r="127" spans="1:5" x14ac:dyDescent="0.3">
      <c r="A127" s="3" t="s">
        <v>255</v>
      </c>
      <c r="B127" s="3">
        <v>0</v>
      </c>
      <c r="C127" s="3">
        <v>646</v>
      </c>
      <c r="D127" s="3">
        <v>65.900000000000006</v>
      </c>
      <c r="E127" s="3" t="str">
        <f>LOOKUP(C127,$G$2:$G$7,$H$2:$H$7)</f>
        <v>600-649</v>
      </c>
    </row>
    <row r="128" spans="1:5" x14ac:dyDescent="0.3">
      <c r="A128" s="3" t="s">
        <v>257</v>
      </c>
      <c r="B128" s="3">
        <v>0</v>
      </c>
      <c r="C128" s="3">
        <v>829</v>
      </c>
      <c r="D128" s="3">
        <v>50.9</v>
      </c>
      <c r="E128" s="3" t="str">
        <f>LOOKUP(C128,$G$2:$G$7,$H$2:$H$7)</f>
        <v>750+</v>
      </c>
    </row>
    <row r="129" spans="1:5" x14ac:dyDescent="0.3">
      <c r="A129" s="3" t="s">
        <v>257</v>
      </c>
      <c r="B129" s="3">
        <v>0</v>
      </c>
      <c r="C129" s="3">
        <v>829</v>
      </c>
      <c r="D129" s="3">
        <v>66.8</v>
      </c>
      <c r="E129" s="3" t="str">
        <f>LOOKUP(C129,$G$2:$G$7,$H$2:$H$7)</f>
        <v>750+</v>
      </c>
    </row>
    <row r="130" spans="1:5" x14ac:dyDescent="0.3">
      <c r="A130" s="3" t="s">
        <v>260</v>
      </c>
      <c r="B130" s="3">
        <v>0</v>
      </c>
      <c r="C130" s="3">
        <v>662</v>
      </c>
      <c r="D130" s="3">
        <v>45.3</v>
      </c>
      <c r="E130" s="3" t="str">
        <f>LOOKUP(C130,$G$2:$G$7,$H$2:$H$7)</f>
        <v>650-699</v>
      </c>
    </row>
    <row r="131" spans="1:5" x14ac:dyDescent="0.3">
      <c r="A131" s="3" t="s">
        <v>262</v>
      </c>
      <c r="B131" s="3">
        <v>1</v>
      </c>
      <c r="C131" s="3">
        <v>850</v>
      </c>
      <c r="D131" s="3">
        <v>32.6</v>
      </c>
      <c r="E131" s="3" t="str">
        <f>LOOKUP(C131,$G$2:$G$7,$H$2:$H$7)</f>
        <v>750+</v>
      </c>
    </row>
    <row r="132" spans="1:5" x14ac:dyDescent="0.3">
      <c r="A132" s="3" t="s">
        <v>264</v>
      </c>
      <c r="B132" s="3">
        <v>1</v>
      </c>
      <c r="C132" s="3">
        <v>619</v>
      </c>
      <c r="D132" s="3">
        <v>49.5</v>
      </c>
      <c r="E132" s="3" t="str">
        <f>LOOKUP(C132,$G$2:$G$7,$H$2:$H$7)</f>
        <v>600-649</v>
      </c>
    </row>
    <row r="133" spans="1:5" x14ac:dyDescent="0.3">
      <c r="A133" s="3" t="s">
        <v>266</v>
      </c>
      <c r="B133" s="3">
        <v>0</v>
      </c>
      <c r="C133" s="3">
        <v>781</v>
      </c>
      <c r="D133" s="3">
        <v>32.4</v>
      </c>
      <c r="E133" s="3" t="str">
        <f>LOOKUP(C133,$G$2:$G$7,$H$2:$H$7)</f>
        <v>750+</v>
      </c>
    </row>
    <row r="134" spans="1:5" x14ac:dyDescent="0.3">
      <c r="A134" s="3" t="s">
        <v>268</v>
      </c>
      <c r="B134" s="3">
        <v>1</v>
      </c>
      <c r="C134" s="3">
        <v>728</v>
      </c>
      <c r="D134" s="3">
        <v>38</v>
      </c>
      <c r="E134" s="3" t="str">
        <f>LOOKUP(C134,$G$2:$G$7,$H$2:$H$7)</f>
        <v>700-749</v>
      </c>
    </row>
    <row r="135" spans="1:5" x14ac:dyDescent="0.3">
      <c r="A135" s="3" t="s">
        <v>270</v>
      </c>
      <c r="B135" s="3">
        <v>1</v>
      </c>
      <c r="C135" s="3">
        <v>674</v>
      </c>
      <c r="D135" s="3">
        <v>13.5</v>
      </c>
      <c r="E135" s="3" t="str">
        <f>LOOKUP(C135,$G$2:$G$7,$H$2:$H$7)</f>
        <v>650-699</v>
      </c>
    </row>
    <row r="136" spans="1:5" x14ac:dyDescent="0.3">
      <c r="A136" s="3" t="s">
        <v>270</v>
      </c>
      <c r="B136" s="3">
        <v>0</v>
      </c>
      <c r="C136" s="3">
        <v>674</v>
      </c>
      <c r="D136" s="3">
        <v>18.7</v>
      </c>
      <c r="E136" s="3" t="str">
        <f>LOOKUP(C136,$G$2:$G$7,$H$2:$H$7)</f>
        <v>650-699</v>
      </c>
    </row>
    <row r="137" spans="1:5" x14ac:dyDescent="0.3">
      <c r="A137" s="3" t="s">
        <v>273</v>
      </c>
      <c r="B137" s="3">
        <v>0</v>
      </c>
      <c r="C137" s="3">
        <v>697</v>
      </c>
      <c r="D137" s="3">
        <v>57.1</v>
      </c>
      <c r="E137" s="3" t="str">
        <f>LOOKUP(C137,$G$2:$G$7,$H$2:$H$7)</f>
        <v>650-699</v>
      </c>
    </row>
    <row r="138" spans="1:5" x14ac:dyDescent="0.3">
      <c r="A138" s="3" t="s">
        <v>275</v>
      </c>
      <c r="B138" s="3">
        <v>1</v>
      </c>
      <c r="C138" s="3">
        <v>549</v>
      </c>
      <c r="D138" s="3">
        <v>59.5</v>
      </c>
      <c r="E138" s="3" t="str">
        <f>LOOKUP(C138,$G$2:$G$7,$H$2:$H$7)</f>
        <v>520-599</v>
      </c>
    </row>
    <row r="139" spans="1:5" x14ac:dyDescent="0.3">
      <c r="A139" s="3" t="s">
        <v>275</v>
      </c>
      <c r="B139" s="3">
        <v>1</v>
      </c>
      <c r="C139" s="3">
        <v>549</v>
      </c>
      <c r="D139" s="3">
        <v>59.3</v>
      </c>
      <c r="E139" s="3" t="str">
        <f>LOOKUP(C139,$G$2:$G$7,$H$2:$H$7)</f>
        <v>520-599</v>
      </c>
    </row>
    <row r="140" spans="1:5" x14ac:dyDescent="0.3">
      <c r="A140" s="3" t="s">
        <v>278</v>
      </c>
      <c r="B140" s="3">
        <v>0</v>
      </c>
      <c r="C140" s="3">
        <v>821</v>
      </c>
      <c r="D140" s="3">
        <v>29.9</v>
      </c>
      <c r="E140" s="3" t="str">
        <f>LOOKUP(C140,$G$2:$G$7,$H$2:$H$7)</f>
        <v>750+</v>
      </c>
    </row>
    <row r="141" spans="1:5" x14ac:dyDescent="0.3">
      <c r="A141" s="3" t="s">
        <v>280</v>
      </c>
      <c r="B141" s="3">
        <v>1</v>
      </c>
      <c r="C141" s="3">
        <v>678</v>
      </c>
      <c r="D141" s="3">
        <v>73.400000000000006</v>
      </c>
      <c r="E141" s="3" t="str">
        <f>LOOKUP(C141,$G$2:$G$7,$H$2:$H$7)</f>
        <v>650-699</v>
      </c>
    </row>
    <row r="142" spans="1:5" x14ac:dyDescent="0.3">
      <c r="A142" s="3" t="s">
        <v>282</v>
      </c>
      <c r="B142" s="3">
        <v>0</v>
      </c>
      <c r="C142" s="3">
        <v>850</v>
      </c>
      <c r="D142" s="3">
        <v>25.1</v>
      </c>
      <c r="E142" s="3" t="str">
        <f>LOOKUP(C142,$G$2:$G$7,$H$2:$H$7)</f>
        <v>750+</v>
      </c>
    </row>
    <row r="143" spans="1:5" x14ac:dyDescent="0.3">
      <c r="A143" s="3" t="s">
        <v>282</v>
      </c>
      <c r="B143" s="3">
        <v>0</v>
      </c>
      <c r="C143" s="3">
        <v>850</v>
      </c>
      <c r="D143" s="3">
        <v>14.2</v>
      </c>
      <c r="E143" s="3" t="str">
        <f>LOOKUP(C143,$G$2:$G$7,$H$2:$H$7)</f>
        <v>750+</v>
      </c>
    </row>
    <row r="144" spans="1:5" x14ac:dyDescent="0.3">
      <c r="A144" s="3" t="s">
        <v>285</v>
      </c>
      <c r="B144" s="3">
        <v>0</v>
      </c>
      <c r="C144" s="3">
        <v>540</v>
      </c>
      <c r="D144" s="3">
        <v>56.4</v>
      </c>
      <c r="E144" s="3" t="str">
        <f>LOOKUP(C144,$G$2:$G$7,$H$2:$H$7)</f>
        <v>520-599</v>
      </c>
    </row>
    <row r="145" spans="1:5" x14ac:dyDescent="0.3">
      <c r="A145" s="3" t="s">
        <v>287</v>
      </c>
      <c r="B145" s="3">
        <v>0</v>
      </c>
      <c r="C145" s="3">
        <v>635</v>
      </c>
      <c r="D145" s="3">
        <v>39.299999999999997</v>
      </c>
      <c r="E145" s="3" t="str">
        <f>LOOKUP(C145,$G$2:$G$7,$H$2:$H$7)</f>
        <v>600-649</v>
      </c>
    </row>
    <row r="146" spans="1:5" x14ac:dyDescent="0.3">
      <c r="A146" s="3" t="s">
        <v>289</v>
      </c>
      <c r="B146" s="3">
        <v>0</v>
      </c>
      <c r="C146" s="3">
        <v>663</v>
      </c>
      <c r="D146" s="3">
        <v>8.8000000000000007</v>
      </c>
      <c r="E146" s="3" t="str">
        <f>LOOKUP(C146,$G$2:$G$7,$H$2:$H$7)</f>
        <v>650-699</v>
      </c>
    </row>
    <row r="147" spans="1:5" x14ac:dyDescent="0.3">
      <c r="A147" s="3" t="s">
        <v>291</v>
      </c>
      <c r="B147" s="3">
        <v>1</v>
      </c>
      <c r="C147" s="3">
        <v>594</v>
      </c>
      <c r="D147" s="3">
        <v>41.1</v>
      </c>
      <c r="E147" s="3" t="str">
        <f>LOOKUP(C147,$G$2:$G$7,$H$2:$H$7)</f>
        <v>520-599</v>
      </c>
    </row>
    <row r="148" spans="1:5" x14ac:dyDescent="0.3">
      <c r="A148" s="3" t="s">
        <v>293</v>
      </c>
      <c r="B148" s="3">
        <v>1</v>
      </c>
      <c r="C148" s="3">
        <v>849</v>
      </c>
      <c r="D148" s="3">
        <v>33.200000000000003</v>
      </c>
      <c r="E148" s="3" t="str">
        <f>LOOKUP(C148,$G$2:$G$7,$H$2:$H$7)</f>
        <v>750+</v>
      </c>
    </row>
    <row r="149" spans="1:5" x14ac:dyDescent="0.3">
      <c r="A149" s="3" t="s">
        <v>295</v>
      </c>
      <c r="B149" s="3">
        <v>0</v>
      </c>
      <c r="C149" s="3">
        <v>750</v>
      </c>
      <c r="D149" s="3">
        <v>31.9</v>
      </c>
      <c r="E149" s="3" t="str">
        <f>LOOKUP(C149,$G$2:$G$7,$H$2:$H$7)</f>
        <v>750+</v>
      </c>
    </row>
    <row r="150" spans="1:5" x14ac:dyDescent="0.3">
      <c r="A150" s="3" t="s">
        <v>297</v>
      </c>
      <c r="B150" s="3">
        <v>0</v>
      </c>
      <c r="C150" s="3">
        <v>844</v>
      </c>
      <c r="D150" s="3">
        <v>49.3</v>
      </c>
      <c r="E150" s="3" t="str">
        <f>LOOKUP(C150,$G$2:$G$7,$H$2:$H$7)</f>
        <v>750+</v>
      </c>
    </row>
    <row r="151" spans="1:5" x14ac:dyDescent="0.3">
      <c r="A151" s="3" t="s">
        <v>299</v>
      </c>
      <c r="B151" s="3">
        <v>0</v>
      </c>
      <c r="C151" s="3">
        <v>812</v>
      </c>
      <c r="D151" s="3">
        <v>27.6</v>
      </c>
      <c r="E151" s="3" t="str">
        <f>LOOKUP(C151,$G$2:$G$7,$H$2:$H$7)</f>
        <v>750+</v>
      </c>
    </row>
    <row r="152" spans="1:5" x14ac:dyDescent="0.3">
      <c r="A152" s="3" t="s">
        <v>301</v>
      </c>
      <c r="B152" s="3">
        <v>0</v>
      </c>
      <c r="C152" s="3">
        <v>695</v>
      </c>
      <c r="D152" s="3">
        <v>35</v>
      </c>
      <c r="E152" s="3" t="str">
        <f>LOOKUP(C152,$G$2:$G$7,$H$2:$H$7)</f>
        <v>650-699</v>
      </c>
    </row>
    <row r="153" spans="1:5" x14ac:dyDescent="0.3">
      <c r="A153" s="3" t="s">
        <v>303</v>
      </c>
      <c r="B153" s="3">
        <v>1</v>
      </c>
      <c r="C153" s="3">
        <v>725</v>
      </c>
      <c r="D153" s="3">
        <v>38.200000000000003</v>
      </c>
      <c r="E153" s="3" t="str">
        <f>LOOKUP(C153,$G$2:$G$7,$H$2:$H$7)</f>
        <v>700-749</v>
      </c>
    </row>
    <row r="154" spans="1:5" x14ac:dyDescent="0.3">
      <c r="A154" s="3" t="s">
        <v>305</v>
      </c>
      <c r="B154" s="3">
        <v>0</v>
      </c>
      <c r="C154" s="3">
        <v>746</v>
      </c>
      <c r="D154" s="3">
        <v>98.6</v>
      </c>
      <c r="E154" s="3" t="str">
        <f>LOOKUP(C154,$G$2:$G$7,$H$2:$H$7)</f>
        <v>700-749</v>
      </c>
    </row>
    <row r="155" spans="1:5" x14ac:dyDescent="0.3">
      <c r="A155" s="3" t="s">
        <v>307</v>
      </c>
      <c r="B155" s="3">
        <v>1</v>
      </c>
      <c r="C155" s="3">
        <v>580</v>
      </c>
      <c r="D155" s="3">
        <v>100.5</v>
      </c>
      <c r="E155" s="3" t="str">
        <f>LOOKUP(C155,$G$2:$G$7,$H$2:$H$7)</f>
        <v>520-599</v>
      </c>
    </row>
    <row r="156" spans="1:5" x14ac:dyDescent="0.3">
      <c r="A156" s="3" t="s">
        <v>309</v>
      </c>
      <c r="B156" s="3">
        <v>0</v>
      </c>
      <c r="C156" s="3">
        <v>850</v>
      </c>
      <c r="D156" s="3">
        <v>21</v>
      </c>
      <c r="E156" s="3" t="str">
        <f>LOOKUP(C156,$G$2:$G$7,$H$2:$H$7)</f>
        <v>750+</v>
      </c>
    </row>
    <row r="157" spans="1:5" x14ac:dyDescent="0.3">
      <c r="A157" s="3" t="s">
        <v>311</v>
      </c>
      <c r="B157" s="3">
        <v>0</v>
      </c>
      <c r="C157" s="3">
        <v>714</v>
      </c>
      <c r="D157" s="3">
        <v>50.5</v>
      </c>
      <c r="E157" s="3" t="str">
        <f>LOOKUP(C157,$G$2:$G$7,$H$2:$H$7)</f>
        <v>700-749</v>
      </c>
    </row>
    <row r="158" spans="1:5" x14ac:dyDescent="0.3">
      <c r="A158" s="3" t="s">
        <v>313</v>
      </c>
      <c r="B158" s="3">
        <v>0</v>
      </c>
      <c r="C158" s="3">
        <v>796</v>
      </c>
      <c r="D158" s="3">
        <v>59.5</v>
      </c>
      <c r="E158" s="3" t="str">
        <f>LOOKUP(C158,$G$2:$G$7,$H$2:$H$7)</f>
        <v>750+</v>
      </c>
    </row>
    <row r="159" spans="1:5" x14ac:dyDescent="0.3">
      <c r="A159" s="3" t="s">
        <v>315</v>
      </c>
      <c r="B159" s="3">
        <v>0</v>
      </c>
      <c r="C159" s="3">
        <v>551</v>
      </c>
      <c r="D159" s="3">
        <v>63.7</v>
      </c>
      <c r="E159" s="3" t="str">
        <f>LOOKUP(C159,$G$2:$G$7,$H$2:$H$7)</f>
        <v>520-599</v>
      </c>
    </row>
    <row r="160" spans="1:5" x14ac:dyDescent="0.3">
      <c r="A160" s="3" t="s">
        <v>315</v>
      </c>
      <c r="B160" s="3">
        <v>0</v>
      </c>
      <c r="C160" s="3">
        <v>551</v>
      </c>
      <c r="D160" s="3">
        <v>19.8</v>
      </c>
      <c r="E160" s="3" t="str">
        <f>LOOKUP(C160,$G$2:$G$7,$H$2:$H$7)</f>
        <v>520-599</v>
      </c>
    </row>
    <row r="161" spans="1:5" x14ac:dyDescent="0.3">
      <c r="A161" s="3" t="s">
        <v>318</v>
      </c>
      <c r="B161" s="3">
        <v>1</v>
      </c>
      <c r="C161" s="3">
        <v>674</v>
      </c>
      <c r="D161" s="3">
        <v>63</v>
      </c>
      <c r="E161" s="3" t="str">
        <f>LOOKUP(C161,$G$2:$G$7,$H$2:$H$7)</f>
        <v>650-699</v>
      </c>
    </row>
    <row r="162" spans="1:5" x14ac:dyDescent="0.3">
      <c r="A162" s="3" t="s">
        <v>320</v>
      </c>
      <c r="B162" s="3">
        <v>0</v>
      </c>
      <c r="C162" s="3">
        <v>563</v>
      </c>
      <c r="D162" s="3">
        <v>19.100000000000001</v>
      </c>
      <c r="E162" s="3" t="str">
        <f>LOOKUP(C162,$G$2:$G$7,$H$2:$H$7)</f>
        <v>520-599</v>
      </c>
    </row>
    <row r="163" spans="1:5" x14ac:dyDescent="0.3">
      <c r="A163" s="3" t="s">
        <v>320</v>
      </c>
      <c r="B163" s="3">
        <v>0</v>
      </c>
      <c r="C163" s="3">
        <v>563</v>
      </c>
      <c r="D163" s="3">
        <v>32</v>
      </c>
      <c r="E163" s="3" t="str">
        <f>LOOKUP(C163,$G$2:$G$7,$H$2:$H$7)</f>
        <v>520-599</v>
      </c>
    </row>
    <row r="164" spans="1:5" x14ac:dyDescent="0.3">
      <c r="A164" s="3" t="s">
        <v>323</v>
      </c>
      <c r="B164" s="3">
        <v>0</v>
      </c>
      <c r="C164" s="3">
        <v>596</v>
      </c>
      <c r="D164" s="3">
        <v>31.3</v>
      </c>
      <c r="E164" s="3" t="str">
        <f>LOOKUP(C164,$G$2:$G$7,$H$2:$H$7)</f>
        <v>520-599</v>
      </c>
    </row>
    <row r="165" spans="1:5" x14ac:dyDescent="0.3">
      <c r="A165" s="3" t="s">
        <v>325</v>
      </c>
      <c r="B165" s="3">
        <v>0</v>
      </c>
      <c r="C165" s="3">
        <v>706</v>
      </c>
      <c r="D165" s="3">
        <v>30.1</v>
      </c>
      <c r="E165" s="3" t="str">
        <f>LOOKUP(C165,$G$2:$G$7,$H$2:$H$7)</f>
        <v>700-749</v>
      </c>
    </row>
    <row r="166" spans="1:5" x14ac:dyDescent="0.3">
      <c r="A166" s="3" t="s">
        <v>327</v>
      </c>
      <c r="B166" s="3">
        <v>0</v>
      </c>
      <c r="C166" s="3">
        <v>850</v>
      </c>
      <c r="D166" s="3">
        <v>30.1</v>
      </c>
      <c r="E166" s="3" t="str">
        <f>LOOKUP(C166,$G$2:$G$7,$H$2:$H$7)</f>
        <v>750+</v>
      </c>
    </row>
    <row r="167" spans="1:5" x14ac:dyDescent="0.3">
      <c r="A167" s="3" t="s">
        <v>327</v>
      </c>
      <c r="B167" s="3">
        <v>0</v>
      </c>
      <c r="C167" s="3">
        <v>850</v>
      </c>
      <c r="D167" s="3">
        <v>24.6</v>
      </c>
      <c r="E167" s="3" t="str">
        <f>LOOKUP(C167,$G$2:$G$7,$H$2:$H$7)</f>
        <v>750+</v>
      </c>
    </row>
    <row r="168" spans="1:5" x14ac:dyDescent="0.3">
      <c r="A168" s="3" t="s">
        <v>330</v>
      </c>
      <c r="B168" s="3">
        <v>0</v>
      </c>
      <c r="C168" s="3">
        <v>758</v>
      </c>
      <c r="D168" s="3">
        <v>13.3</v>
      </c>
      <c r="E168" s="3" t="str">
        <f>LOOKUP(C168,$G$2:$G$7,$H$2:$H$7)</f>
        <v>750+</v>
      </c>
    </row>
    <row r="169" spans="1:5" x14ac:dyDescent="0.3">
      <c r="A169" s="3" t="s">
        <v>332</v>
      </c>
      <c r="B169" s="3">
        <v>1</v>
      </c>
      <c r="C169" s="3">
        <v>589</v>
      </c>
      <c r="D169" s="3">
        <v>71.5</v>
      </c>
      <c r="E169" s="3" t="str">
        <f>LOOKUP(C169,$G$2:$G$7,$H$2:$H$7)</f>
        <v>520-599</v>
      </c>
    </row>
    <row r="170" spans="1:5" x14ac:dyDescent="0.3">
      <c r="A170" s="3" t="s">
        <v>332</v>
      </c>
      <c r="B170" s="3">
        <v>1</v>
      </c>
      <c r="C170" s="3">
        <v>589</v>
      </c>
      <c r="D170" s="3">
        <v>61.3</v>
      </c>
      <c r="E170" s="3" t="str">
        <f>LOOKUP(C170,$G$2:$G$7,$H$2:$H$7)</f>
        <v>520-599</v>
      </c>
    </row>
    <row r="171" spans="1:5" x14ac:dyDescent="0.3">
      <c r="A171" s="3" t="s">
        <v>335</v>
      </c>
      <c r="B171" s="3">
        <v>0</v>
      </c>
      <c r="C171" s="3">
        <v>605</v>
      </c>
      <c r="D171" s="3">
        <v>45.8</v>
      </c>
      <c r="E171" s="3" t="str">
        <f>LOOKUP(C171,$G$2:$G$7,$H$2:$H$7)</f>
        <v>600-649</v>
      </c>
    </row>
    <row r="172" spans="1:5" x14ac:dyDescent="0.3">
      <c r="A172" s="3" t="s">
        <v>337</v>
      </c>
      <c r="B172" s="3">
        <v>0</v>
      </c>
      <c r="C172" s="3">
        <v>762</v>
      </c>
      <c r="D172" s="3">
        <v>64.900000000000006</v>
      </c>
      <c r="E172" s="3" t="str">
        <f>LOOKUP(C172,$G$2:$G$7,$H$2:$H$7)</f>
        <v>750+</v>
      </c>
    </row>
    <row r="173" spans="1:5" x14ac:dyDescent="0.3">
      <c r="A173" s="3" t="s">
        <v>339</v>
      </c>
      <c r="B173" s="3">
        <v>0</v>
      </c>
      <c r="C173" s="3">
        <v>750</v>
      </c>
      <c r="D173" s="3">
        <v>29.5</v>
      </c>
      <c r="E173" s="3" t="str">
        <f>LOOKUP(C173,$G$2:$G$7,$H$2:$H$7)</f>
        <v>750+</v>
      </c>
    </row>
    <row r="174" spans="1:5" x14ac:dyDescent="0.3">
      <c r="A174" s="3" t="s">
        <v>341</v>
      </c>
      <c r="B174" s="3">
        <v>0</v>
      </c>
      <c r="C174" s="3">
        <v>554</v>
      </c>
      <c r="D174" s="3">
        <v>49.7</v>
      </c>
      <c r="E174" s="3" t="str">
        <f>LOOKUP(C174,$G$2:$G$7,$H$2:$H$7)</f>
        <v>520-599</v>
      </c>
    </row>
    <row r="175" spans="1:5" x14ac:dyDescent="0.3">
      <c r="A175" s="3" t="s">
        <v>341</v>
      </c>
      <c r="B175" s="3">
        <v>0</v>
      </c>
      <c r="C175" s="3">
        <v>554</v>
      </c>
      <c r="D175" s="3">
        <v>58.1</v>
      </c>
      <c r="E175" s="3" t="str">
        <f>LOOKUP(C175,$G$2:$G$7,$H$2:$H$7)</f>
        <v>520-599</v>
      </c>
    </row>
    <row r="176" spans="1:5" x14ac:dyDescent="0.3">
      <c r="A176" s="3" t="s">
        <v>344</v>
      </c>
      <c r="B176" s="3">
        <v>0</v>
      </c>
      <c r="C176" s="3">
        <v>818</v>
      </c>
      <c r="D176" s="3">
        <v>21.6</v>
      </c>
      <c r="E176" s="3" t="str">
        <f>LOOKUP(C176,$G$2:$G$7,$H$2:$H$7)</f>
        <v>750+</v>
      </c>
    </row>
    <row r="177" spans="1:5" x14ac:dyDescent="0.3">
      <c r="A177" s="3" t="s">
        <v>346</v>
      </c>
      <c r="B177" s="3">
        <v>1</v>
      </c>
      <c r="C177" s="3">
        <v>582</v>
      </c>
      <c r="D177" s="3">
        <v>26.5</v>
      </c>
      <c r="E177" s="3" t="str">
        <f>LOOKUP(C177,$G$2:$G$7,$H$2:$H$7)</f>
        <v>520-599</v>
      </c>
    </row>
    <row r="178" spans="1:5" x14ac:dyDescent="0.3">
      <c r="A178" s="3" t="s">
        <v>348</v>
      </c>
      <c r="B178" s="3">
        <v>0</v>
      </c>
      <c r="C178" s="3">
        <v>842</v>
      </c>
      <c r="D178" s="3">
        <v>32.6</v>
      </c>
      <c r="E178" s="3" t="str">
        <f>LOOKUP(C178,$G$2:$G$7,$H$2:$H$7)</f>
        <v>750+</v>
      </c>
    </row>
    <row r="179" spans="1:5" x14ac:dyDescent="0.3">
      <c r="A179" s="3" t="s">
        <v>350</v>
      </c>
      <c r="B179" s="3">
        <v>0</v>
      </c>
      <c r="C179" s="3">
        <v>711</v>
      </c>
      <c r="D179" s="3">
        <v>31.1</v>
      </c>
      <c r="E179" s="3" t="str">
        <f>LOOKUP(C179,$G$2:$G$7,$H$2:$H$7)</f>
        <v>700-749</v>
      </c>
    </row>
    <row r="180" spans="1:5" x14ac:dyDescent="0.3">
      <c r="A180" s="3" t="s">
        <v>352</v>
      </c>
      <c r="B180" s="3">
        <v>0</v>
      </c>
      <c r="C180" s="3">
        <v>611</v>
      </c>
      <c r="D180" s="3">
        <v>25.8</v>
      </c>
      <c r="E180" s="3" t="str">
        <f>LOOKUP(C180,$G$2:$G$7,$H$2:$H$7)</f>
        <v>600-649</v>
      </c>
    </row>
    <row r="181" spans="1:5" x14ac:dyDescent="0.3">
      <c r="A181" s="3" t="s">
        <v>354</v>
      </c>
      <c r="B181" s="3">
        <v>0</v>
      </c>
      <c r="C181" s="3">
        <v>578</v>
      </c>
      <c r="D181" s="3">
        <v>96.8</v>
      </c>
      <c r="E181" s="3" t="str">
        <f>LOOKUP(C181,$G$2:$G$7,$H$2:$H$7)</f>
        <v>520-599</v>
      </c>
    </row>
    <row r="182" spans="1:5" x14ac:dyDescent="0.3">
      <c r="A182" s="3" t="s">
        <v>356</v>
      </c>
      <c r="B182" s="3">
        <v>1</v>
      </c>
      <c r="C182" s="3">
        <v>809</v>
      </c>
      <c r="D182" s="3">
        <v>10.5</v>
      </c>
      <c r="E182" s="3" t="str">
        <f>LOOKUP(C182,$G$2:$G$7,$H$2:$H$7)</f>
        <v>750+</v>
      </c>
    </row>
    <row r="183" spans="1:5" x14ac:dyDescent="0.3">
      <c r="A183" s="3" t="s">
        <v>358</v>
      </c>
      <c r="B183" s="3">
        <v>0</v>
      </c>
      <c r="C183" s="3">
        <v>778</v>
      </c>
      <c r="D183" s="3">
        <v>58.6</v>
      </c>
      <c r="E183" s="3" t="str">
        <f>LOOKUP(C183,$G$2:$G$7,$H$2:$H$7)</f>
        <v>750+</v>
      </c>
    </row>
    <row r="184" spans="1:5" x14ac:dyDescent="0.3">
      <c r="A184" s="3" t="s">
        <v>360</v>
      </c>
      <c r="B184" s="3">
        <v>0</v>
      </c>
      <c r="C184" s="3">
        <v>809</v>
      </c>
      <c r="D184" s="3">
        <v>26.5</v>
      </c>
      <c r="E184" s="3" t="str">
        <f>LOOKUP(C184,$G$2:$G$7,$H$2:$H$7)</f>
        <v>750+</v>
      </c>
    </row>
    <row r="185" spans="1:5" x14ac:dyDescent="0.3">
      <c r="A185" s="3" t="s">
        <v>362</v>
      </c>
      <c r="B185" s="3">
        <v>0</v>
      </c>
      <c r="C185" s="3">
        <v>849</v>
      </c>
      <c r="D185" s="3">
        <v>64.8</v>
      </c>
      <c r="E185" s="3" t="str">
        <f>LOOKUP(C185,$G$2:$G$7,$H$2:$H$7)</f>
        <v>750+</v>
      </c>
    </row>
    <row r="186" spans="1:5" x14ac:dyDescent="0.3">
      <c r="A186" s="3" t="s">
        <v>364</v>
      </c>
      <c r="B186" s="3">
        <v>1</v>
      </c>
      <c r="C186" s="3">
        <v>764</v>
      </c>
      <c r="D186" s="3">
        <v>103.5</v>
      </c>
      <c r="E186" s="3" t="str">
        <f>LOOKUP(C186,$G$2:$G$7,$H$2:$H$7)</f>
        <v>750+</v>
      </c>
    </row>
    <row r="187" spans="1:5" x14ac:dyDescent="0.3">
      <c r="A187" s="3" t="s">
        <v>366</v>
      </c>
      <c r="B187" s="3">
        <v>0</v>
      </c>
      <c r="C187" s="3">
        <v>771</v>
      </c>
      <c r="D187" s="3">
        <v>54.3</v>
      </c>
      <c r="E187" s="3" t="str">
        <f>LOOKUP(C187,$G$2:$G$7,$H$2:$H$7)</f>
        <v>750+</v>
      </c>
    </row>
    <row r="188" spans="1:5" x14ac:dyDescent="0.3">
      <c r="A188" s="3" t="s">
        <v>366</v>
      </c>
      <c r="B188" s="3">
        <v>0</v>
      </c>
      <c r="C188" s="3">
        <v>771</v>
      </c>
      <c r="D188" s="3">
        <v>32.9</v>
      </c>
      <c r="E188" s="3" t="str">
        <f>LOOKUP(C188,$G$2:$G$7,$H$2:$H$7)</f>
        <v>750+</v>
      </c>
    </row>
    <row r="189" spans="1:5" x14ac:dyDescent="0.3">
      <c r="A189" s="3" t="s">
        <v>369</v>
      </c>
      <c r="B189" s="3">
        <v>0</v>
      </c>
      <c r="C189" s="3">
        <v>663</v>
      </c>
      <c r="D189" s="3">
        <v>114.2</v>
      </c>
      <c r="E189" s="3" t="str">
        <f>LOOKUP(C189,$G$2:$G$7,$H$2:$H$7)</f>
        <v>650-699</v>
      </c>
    </row>
    <row r="190" spans="1:5" x14ac:dyDescent="0.3">
      <c r="A190" s="3" t="s">
        <v>369</v>
      </c>
      <c r="B190" s="3">
        <v>0</v>
      </c>
      <c r="C190" s="3">
        <v>663</v>
      </c>
      <c r="D190" s="3">
        <v>65.8</v>
      </c>
      <c r="E190" s="3" t="str">
        <f>LOOKUP(C190,$G$2:$G$7,$H$2:$H$7)</f>
        <v>650-699</v>
      </c>
    </row>
    <row r="191" spans="1:5" x14ac:dyDescent="0.3">
      <c r="A191" s="3" t="s">
        <v>372</v>
      </c>
      <c r="B191" s="3">
        <v>0</v>
      </c>
      <c r="C191" s="3">
        <v>617</v>
      </c>
      <c r="D191" s="3">
        <v>32.5</v>
      </c>
      <c r="E191" s="3" t="str">
        <f>LOOKUP(C191,$G$2:$G$7,$H$2:$H$7)</f>
        <v>600-649</v>
      </c>
    </row>
    <row r="192" spans="1:5" x14ac:dyDescent="0.3">
      <c r="A192" s="3" t="s">
        <v>372</v>
      </c>
      <c r="B192" s="3">
        <v>1</v>
      </c>
      <c r="C192" s="3">
        <v>617</v>
      </c>
      <c r="D192" s="3">
        <v>41</v>
      </c>
      <c r="E192" s="3" t="str">
        <f>LOOKUP(C192,$G$2:$G$7,$H$2:$H$7)</f>
        <v>600-649</v>
      </c>
    </row>
    <row r="193" spans="1:5" x14ac:dyDescent="0.3">
      <c r="A193" s="3" t="s">
        <v>375</v>
      </c>
      <c r="B193" s="3">
        <v>0</v>
      </c>
      <c r="C193" s="3">
        <v>762</v>
      </c>
      <c r="D193" s="3">
        <v>57.9</v>
      </c>
      <c r="E193" s="3" t="str">
        <f>LOOKUP(C193,$G$2:$G$7,$H$2:$H$7)</f>
        <v>750+</v>
      </c>
    </row>
    <row r="194" spans="1:5" x14ac:dyDescent="0.3">
      <c r="A194" s="3" t="s">
        <v>377</v>
      </c>
      <c r="B194" s="3">
        <v>1</v>
      </c>
      <c r="C194" s="3">
        <v>696</v>
      </c>
      <c r="D194" s="3">
        <v>60.9</v>
      </c>
      <c r="E194" s="3" t="str">
        <f>LOOKUP(C194,$G$2:$G$7,$H$2:$H$7)</f>
        <v>650-699</v>
      </c>
    </row>
    <row r="195" spans="1:5" x14ac:dyDescent="0.3">
      <c r="A195" s="3" t="s">
        <v>379</v>
      </c>
      <c r="B195" s="3">
        <v>1</v>
      </c>
      <c r="C195" s="3">
        <v>850</v>
      </c>
      <c r="D195" s="3">
        <v>61.1</v>
      </c>
      <c r="E195" s="3" t="str">
        <f>LOOKUP(C195,$G$2:$G$7,$H$2:$H$7)</f>
        <v>750+</v>
      </c>
    </row>
    <row r="196" spans="1:5" x14ac:dyDescent="0.3">
      <c r="A196" s="3" t="s">
        <v>379</v>
      </c>
      <c r="B196" s="3">
        <v>1</v>
      </c>
      <c r="C196" s="3">
        <v>850</v>
      </c>
      <c r="D196" s="3">
        <v>60.4</v>
      </c>
      <c r="E196" s="3" t="str">
        <f>LOOKUP(C196,$G$2:$G$7,$H$2:$H$7)</f>
        <v>750+</v>
      </c>
    </row>
    <row r="197" spans="1:5" x14ac:dyDescent="0.3">
      <c r="A197" s="3" t="s">
        <v>382</v>
      </c>
      <c r="B197" s="3">
        <v>1</v>
      </c>
      <c r="C197" s="3">
        <v>677</v>
      </c>
      <c r="D197" s="3">
        <v>56.2</v>
      </c>
      <c r="E197" s="3" t="str">
        <f>LOOKUP(C197,$G$2:$G$7,$H$2:$H$7)</f>
        <v>650-699</v>
      </c>
    </row>
    <row r="198" spans="1:5" x14ac:dyDescent="0.3">
      <c r="A198" s="3" t="s">
        <v>384</v>
      </c>
      <c r="B198" s="3">
        <v>0</v>
      </c>
      <c r="C198" s="3">
        <v>845</v>
      </c>
      <c r="D198" s="3">
        <v>56.1</v>
      </c>
      <c r="E198" s="3" t="str">
        <f>LOOKUP(C198,$G$2:$G$7,$H$2:$H$7)</f>
        <v>750+</v>
      </c>
    </row>
    <row r="199" spans="1:5" x14ac:dyDescent="0.3">
      <c r="A199" s="3" t="s">
        <v>386</v>
      </c>
      <c r="B199" s="3">
        <v>1</v>
      </c>
      <c r="C199" s="3">
        <v>738</v>
      </c>
      <c r="D199" s="3">
        <v>29.2</v>
      </c>
      <c r="E199" s="3" t="str">
        <f>LOOKUP(C199,$G$2:$G$7,$H$2:$H$7)</f>
        <v>700-749</v>
      </c>
    </row>
    <row r="200" spans="1:5" x14ac:dyDescent="0.3">
      <c r="A200" s="3" t="s">
        <v>388</v>
      </c>
      <c r="B200" s="3">
        <v>1</v>
      </c>
      <c r="C200" s="3">
        <v>545</v>
      </c>
      <c r="D200" s="3">
        <v>71.099999999999994</v>
      </c>
      <c r="E200" s="3" t="str">
        <f>LOOKUP(C200,$G$2:$G$7,$H$2:$H$7)</f>
        <v>520-599</v>
      </c>
    </row>
    <row r="201" spans="1:5" x14ac:dyDescent="0.3">
      <c r="A201" s="3" t="s">
        <v>390</v>
      </c>
      <c r="B201" s="3">
        <v>0</v>
      </c>
      <c r="C201" s="3">
        <v>658</v>
      </c>
      <c r="D201" s="3">
        <v>27.9</v>
      </c>
      <c r="E201" s="3" t="str">
        <f>LOOKUP(C201,$G$2:$G$7,$H$2:$H$7)</f>
        <v>650-699</v>
      </c>
    </row>
    <row r="202" spans="1:5" x14ac:dyDescent="0.3">
      <c r="A202" s="3" t="s">
        <v>392</v>
      </c>
      <c r="B202" s="3">
        <v>0</v>
      </c>
      <c r="C202" s="3">
        <v>767</v>
      </c>
      <c r="D202" s="3">
        <v>65.099999999999994</v>
      </c>
      <c r="E202" s="3" t="str">
        <f>LOOKUP(C202,$G$2:$G$7,$H$2:$H$7)</f>
        <v>750+</v>
      </c>
    </row>
    <row r="203" spans="1:5" x14ac:dyDescent="0.3">
      <c r="A203" s="3" t="s">
        <v>394</v>
      </c>
      <c r="B203" s="3">
        <v>0</v>
      </c>
      <c r="C203" s="3">
        <v>551</v>
      </c>
      <c r="D203" s="3">
        <v>50.9</v>
      </c>
      <c r="E203" s="3" t="str">
        <f>LOOKUP(C203,$G$2:$G$7,$H$2:$H$7)</f>
        <v>520-599</v>
      </c>
    </row>
    <row r="204" spans="1:5" x14ac:dyDescent="0.3">
      <c r="A204" s="3" t="s">
        <v>396</v>
      </c>
      <c r="B204" s="3">
        <v>0</v>
      </c>
      <c r="C204" s="3">
        <v>707</v>
      </c>
      <c r="D204" s="3">
        <v>67</v>
      </c>
      <c r="E204" s="3" t="str">
        <f>LOOKUP(C204,$G$2:$G$7,$H$2:$H$7)</f>
        <v>700-749</v>
      </c>
    </row>
    <row r="205" spans="1:5" x14ac:dyDescent="0.3">
      <c r="A205" s="3" t="s">
        <v>398</v>
      </c>
      <c r="B205" s="3">
        <v>0</v>
      </c>
      <c r="C205" s="3">
        <v>747</v>
      </c>
      <c r="D205" s="3">
        <v>33.299999999999997</v>
      </c>
      <c r="E205" s="3" t="str">
        <f>LOOKUP(C205,$G$2:$G$7,$H$2:$H$7)</f>
        <v>700-749</v>
      </c>
    </row>
    <row r="206" spans="1:5" x14ac:dyDescent="0.3">
      <c r="A206" s="3" t="s">
        <v>398</v>
      </c>
      <c r="B206" s="3">
        <v>0</v>
      </c>
      <c r="C206" s="3">
        <v>747</v>
      </c>
      <c r="D206" s="3">
        <v>25.3</v>
      </c>
      <c r="E206" s="3" t="str">
        <f>LOOKUP(C206,$G$2:$G$7,$H$2:$H$7)</f>
        <v>700-749</v>
      </c>
    </row>
    <row r="207" spans="1:5" x14ac:dyDescent="0.3">
      <c r="A207" s="3" t="s">
        <v>401</v>
      </c>
      <c r="B207" s="3">
        <v>0</v>
      </c>
      <c r="C207" s="3">
        <v>750</v>
      </c>
      <c r="D207" s="3">
        <v>39.5</v>
      </c>
      <c r="E207" s="3" t="str">
        <f>LOOKUP(C207,$G$2:$G$7,$H$2:$H$7)</f>
        <v>750+</v>
      </c>
    </row>
    <row r="208" spans="1:5" x14ac:dyDescent="0.3">
      <c r="A208" s="3" t="s">
        <v>403</v>
      </c>
      <c r="B208" s="3">
        <v>0</v>
      </c>
      <c r="C208" s="3">
        <v>752</v>
      </c>
      <c r="D208" s="3">
        <v>32.299999999999997</v>
      </c>
      <c r="E208" s="3" t="str">
        <f>LOOKUP(C208,$G$2:$G$7,$H$2:$H$7)</f>
        <v>750+</v>
      </c>
    </row>
    <row r="209" spans="1:5" x14ac:dyDescent="0.3">
      <c r="A209" s="3" t="s">
        <v>405</v>
      </c>
      <c r="B209" s="3">
        <v>0</v>
      </c>
      <c r="C209" s="3">
        <v>568</v>
      </c>
      <c r="D209" s="3">
        <v>56.6</v>
      </c>
      <c r="E209" s="3" t="str">
        <f>LOOKUP(C209,$G$2:$G$7,$H$2:$H$7)</f>
        <v>520-599</v>
      </c>
    </row>
    <row r="210" spans="1:5" x14ac:dyDescent="0.3">
      <c r="A210" s="3" t="s">
        <v>405</v>
      </c>
      <c r="B210" s="3">
        <v>1</v>
      </c>
      <c r="C210" s="3">
        <v>568</v>
      </c>
      <c r="D210" s="3">
        <v>54</v>
      </c>
      <c r="E210" s="3" t="str">
        <f>LOOKUP(C210,$G$2:$G$7,$H$2:$H$7)</f>
        <v>520-599</v>
      </c>
    </row>
    <row r="211" spans="1:5" x14ac:dyDescent="0.3">
      <c r="A211" s="3" t="s">
        <v>408</v>
      </c>
      <c r="B211" s="3">
        <v>0</v>
      </c>
      <c r="C211" s="3">
        <v>774</v>
      </c>
      <c r="D211" s="3">
        <v>36.299999999999997</v>
      </c>
      <c r="E211" s="3" t="str">
        <f>LOOKUP(C211,$G$2:$G$7,$H$2:$H$7)</f>
        <v>750+</v>
      </c>
    </row>
    <row r="212" spans="1:5" x14ac:dyDescent="0.3">
      <c r="A212" s="3" t="s">
        <v>410</v>
      </c>
      <c r="B212" s="3">
        <v>0</v>
      </c>
      <c r="C212" s="3">
        <v>765</v>
      </c>
      <c r="D212" s="3">
        <v>23.8</v>
      </c>
      <c r="E212" s="3" t="str">
        <f>LOOKUP(C212,$G$2:$G$7,$H$2:$H$7)</f>
        <v>750+</v>
      </c>
    </row>
    <row r="213" spans="1:5" x14ac:dyDescent="0.3">
      <c r="A213" s="3" t="s">
        <v>412</v>
      </c>
      <c r="B213" s="3">
        <v>1</v>
      </c>
      <c r="C213" s="3">
        <v>583</v>
      </c>
      <c r="D213" s="3">
        <v>90.3</v>
      </c>
      <c r="E213" s="3" t="str">
        <f>LOOKUP(C213,$G$2:$G$7,$H$2:$H$7)</f>
        <v>520-599</v>
      </c>
    </row>
    <row r="214" spans="1:5" x14ac:dyDescent="0.3">
      <c r="A214" s="3" t="s">
        <v>414</v>
      </c>
      <c r="B214" s="3">
        <v>0</v>
      </c>
      <c r="C214" s="3">
        <v>843</v>
      </c>
      <c r="D214" s="3">
        <v>33.700000000000003</v>
      </c>
      <c r="E214" s="3" t="str">
        <f>LOOKUP(C214,$G$2:$G$7,$H$2:$H$7)</f>
        <v>750+</v>
      </c>
    </row>
    <row r="215" spans="1:5" x14ac:dyDescent="0.3">
      <c r="A215" s="3" t="s">
        <v>416</v>
      </c>
      <c r="B215" s="3">
        <v>1</v>
      </c>
      <c r="C215" s="3">
        <v>579</v>
      </c>
      <c r="D215" s="3">
        <v>56.3</v>
      </c>
      <c r="E215" s="3" t="str">
        <f>LOOKUP(C215,$G$2:$G$7,$H$2:$H$7)</f>
        <v>520-599</v>
      </c>
    </row>
    <row r="216" spans="1:5" x14ac:dyDescent="0.3">
      <c r="A216" s="3" t="s">
        <v>418</v>
      </c>
      <c r="B216" s="3">
        <v>0</v>
      </c>
      <c r="C216" s="3">
        <v>610</v>
      </c>
      <c r="D216" s="3">
        <v>70.5</v>
      </c>
      <c r="E216" s="3" t="str">
        <f>LOOKUP(C216,$G$2:$G$7,$H$2:$H$7)</f>
        <v>600-649</v>
      </c>
    </row>
    <row r="217" spans="1:5" x14ac:dyDescent="0.3">
      <c r="A217" s="3" t="s">
        <v>420</v>
      </c>
      <c r="B217" s="3">
        <v>0</v>
      </c>
      <c r="C217" s="3">
        <v>823</v>
      </c>
      <c r="D217" s="3">
        <v>64.8</v>
      </c>
      <c r="E217" s="3" t="str">
        <f>LOOKUP(C217,$G$2:$G$7,$H$2:$H$7)</f>
        <v>750+</v>
      </c>
    </row>
    <row r="218" spans="1:5" x14ac:dyDescent="0.3">
      <c r="A218" s="3" t="s">
        <v>422</v>
      </c>
      <c r="B218" s="3">
        <v>0</v>
      </c>
      <c r="C218" s="3">
        <v>794</v>
      </c>
      <c r="D218" s="3">
        <v>31.5</v>
      </c>
      <c r="E218" s="3" t="str">
        <f>LOOKUP(C218,$G$2:$G$7,$H$2:$H$7)</f>
        <v>750+</v>
      </c>
    </row>
    <row r="219" spans="1:5" x14ac:dyDescent="0.3">
      <c r="A219" s="3" t="s">
        <v>422</v>
      </c>
      <c r="B219" s="3">
        <v>0</v>
      </c>
      <c r="C219" s="3">
        <v>794</v>
      </c>
      <c r="D219" s="3">
        <v>46.7</v>
      </c>
      <c r="E219" s="3" t="str">
        <f>LOOKUP(C219,$G$2:$G$7,$H$2:$H$7)</f>
        <v>750+</v>
      </c>
    </row>
    <row r="220" spans="1:5" x14ac:dyDescent="0.3">
      <c r="A220" s="3" t="s">
        <v>425</v>
      </c>
      <c r="B220" s="3">
        <v>0</v>
      </c>
      <c r="C220" s="3">
        <v>716</v>
      </c>
      <c r="D220" s="3">
        <v>44.9</v>
      </c>
      <c r="E220" s="3" t="str">
        <f>LOOKUP(C220,$G$2:$G$7,$H$2:$H$7)</f>
        <v>700-749</v>
      </c>
    </row>
    <row r="221" spans="1:5" x14ac:dyDescent="0.3">
      <c r="A221" s="3" t="s">
        <v>427</v>
      </c>
      <c r="B221" s="3">
        <v>0</v>
      </c>
      <c r="C221" s="3">
        <v>593</v>
      </c>
      <c r="D221" s="3">
        <v>64.7</v>
      </c>
      <c r="E221" s="3" t="str">
        <f>LOOKUP(C221,$G$2:$G$7,$H$2:$H$7)</f>
        <v>520-599</v>
      </c>
    </row>
    <row r="222" spans="1:5" x14ac:dyDescent="0.3">
      <c r="A222" s="3" t="s">
        <v>429</v>
      </c>
      <c r="B222" s="3">
        <v>0</v>
      </c>
      <c r="C222" s="3">
        <v>570</v>
      </c>
      <c r="D222" s="3">
        <v>61.8</v>
      </c>
      <c r="E222" s="3" t="str">
        <f>LOOKUP(C222,$G$2:$G$7,$H$2:$H$7)</f>
        <v>520-599</v>
      </c>
    </row>
    <row r="223" spans="1:5" x14ac:dyDescent="0.3">
      <c r="A223" s="3" t="s">
        <v>429</v>
      </c>
      <c r="B223" s="3">
        <v>0</v>
      </c>
      <c r="C223" s="3">
        <v>570</v>
      </c>
      <c r="D223" s="3">
        <v>85.1</v>
      </c>
      <c r="E223" s="3" t="str">
        <f>LOOKUP(C223,$G$2:$G$7,$H$2:$H$7)</f>
        <v>520-599</v>
      </c>
    </row>
    <row r="224" spans="1:5" x14ac:dyDescent="0.3">
      <c r="A224" s="3" t="s">
        <v>432</v>
      </c>
      <c r="B224" s="3">
        <v>0</v>
      </c>
      <c r="C224" s="3">
        <v>827</v>
      </c>
      <c r="D224" s="3">
        <v>64.8</v>
      </c>
      <c r="E224" s="3" t="str">
        <f>LOOKUP(C224,$G$2:$G$7,$H$2:$H$7)</f>
        <v>750+</v>
      </c>
    </row>
    <row r="225" spans="1:5" x14ac:dyDescent="0.3">
      <c r="A225" s="3" t="s">
        <v>432</v>
      </c>
      <c r="B225" s="3">
        <v>0</v>
      </c>
      <c r="C225" s="3">
        <v>827</v>
      </c>
      <c r="D225" s="3">
        <v>60.5</v>
      </c>
      <c r="E225" s="3" t="str">
        <f>LOOKUP(C225,$G$2:$G$7,$H$2:$H$7)</f>
        <v>750+</v>
      </c>
    </row>
    <row r="226" spans="1:5" x14ac:dyDescent="0.3">
      <c r="A226" s="3" t="s">
        <v>435</v>
      </c>
      <c r="B226" s="3">
        <v>0</v>
      </c>
      <c r="C226" s="3">
        <v>850</v>
      </c>
      <c r="D226" s="3">
        <v>40.700000000000003</v>
      </c>
      <c r="E226" s="3" t="str">
        <f>LOOKUP(C226,$G$2:$G$7,$H$2:$H$7)</f>
        <v>750+</v>
      </c>
    </row>
    <row r="227" spans="1:5" x14ac:dyDescent="0.3">
      <c r="A227" s="3" t="s">
        <v>437</v>
      </c>
      <c r="B227" s="3">
        <v>0</v>
      </c>
      <c r="C227" s="3">
        <v>679</v>
      </c>
      <c r="D227" s="3">
        <v>22</v>
      </c>
      <c r="E227" s="3" t="str">
        <f>LOOKUP(C227,$G$2:$G$7,$H$2:$H$7)</f>
        <v>650-699</v>
      </c>
    </row>
    <row r="228" spans="1:5" x14ac:dyDescent="0.3">
      <c r="A228" s="3" t="s">
        <v>439</v>
      </c>
      <c r="B228" s="3">
        <v>0</v>
      </c>
      <c r="C228" s="3">
        <v>772</v>
      </c>
      <c r="D228" s="3">
        <v>96.8</v>
      </c>
      <c r="E228" s="3" t="str">
        <f>LOOKUP(C228,$G$2:$G$7,$H$2:$H$7)</f>
        <v>750+</v>
      </c>
    </row>
    <row r="229" spans="1:5" x14ac:dyDescent="0.3">
      <c r="A229" s="3" t="s">
        <v>441</v>
      </c>
      <c r="B229" s="3">
        <v>0</v>
      </c>
      <c r="C229" s="3">
        <v>734</v>
      </c>
      <c r="D229" s="3">
        <v>34.9</v>
      </c>
      <c r="E229" s="3" t="str">
        <f>LOOKUP(C229,$G$2:$G$7,$H$2:$H$7)</f>
        <v>700-749</v>
      </c>
    </row>
    <row r="230" spans="1:5" x14ac:dyDescent="0.3">
      <c r="A230" s="3" t="s">
        <v>443</v>
      </c>
      <c r="B230" s="3">
        <v>0</v>
      </c>
      <c r="C230" s="3">
        <v>726</v>
      </c>
      <c r="D230" s="3">
        <v>88</v>
      </c>
      <c r="E230" s="3" t="str">
        <f>LOOKUP(C230,$G$2:$G$7,$H$2:$H$7)</f>
        <v>700-749</v>
      </c>
    </row>
    <row r="231" spans="1:5" x14ac:dyDescent="0.3">
      <c r="A231" s="3" t="s">
        <v>445</v>
      </c>
      <c r="B231" s="3">
        <v>0</v>
      </c>
      <c r="C231" s="3">
        <v>616</v>
      </c>
      <c r="D231" s="3">
        <v>33.200000000000003</v>
      </c>
      <c r="E231" s="3" t="str">
        <f>LOOKUP(C231,$G$2:$G$7,$H$2:$H$7)</f>
        <v>600-649</v>
      </c>
    </row>
    <row r="232" spans="1:5" x14ac:dyDescent="0.3">
      <c r="A232" s="3" t="s">
        <v>447</v>
      </c>
      <c r="B232" s="3">
        <v>1</v>
      </c>
      <c r="C232" s="3">
        <v>648</v>
      </c>
      <c r="D232" s="3">
        <v>74.900000000000006</v>
      </c>
      <c r="E232" s="3" t="str">
        <f>LOOKUP(C232,$G$2:$G$7,$H$2:$H$7)</f>
        <v>600-649</v>
      </c>
    </row>
    <row r="233" spans="1:5" x14ac:dyDescent="0.3">
      <c r="A233" s="3" t="s">
        <v>449</v>
      </c>
      <c r="B233" s="3">
        <v>0</v>
      </c>
      <c r="C233" s="3">
        <v>585</v>
      </c>
      <c r="D233" s="3">
        <v>51.9</v>
      </c>
      <c r="E233" s="3" t="str">
        <f>LOOKUP(C233,$G$2:$G$7,$H$2:$H$7)</f>
        <v>520-599</v>
      </c>
    </row>
    <row r="234" spans="1:5" x14ac:dyDescent="0.3">
      <c r="A234" s="3" t="s">
        <v>451</v>
      </c>
      <c r="B234" s="3">
        <v>0</v>
      </c>
      <c r="C234" s="3">
        <v>715</v>
      </c>
      <c r="D234" s="3">
        <v>54.4</v>
      </c>
      <c r="E234" s="3" t="str">
        <f>LOOKUP(C234,$G$2:$G$7,$H$2:$H$7)</f>
        <v>700-749</v>
      </c>
    </row>
    <row r="235" spans="1:5" x14ac:dyDescent="0.3">
      <c r="A235" s="3" t="s">
        <v>453</v>
      </c>
      <c r="B235" s="3">
        <v>0</v>
      </c>
      <c r="C235" s="3">
        <v>595</v>
      </c>
      <c r="D235" s="3">
        <v>74.7</v>
      </c>
      <c r="E235" s="3" t="str">
        <f>LOOKUP(C235,$G$2:$G$7,$H$2:$H$7)</f>
        <v>520-599</v>
      </c>
    </row>
    <row r="236" spans="1:5" x14ac:dyDescent="0.3">
      <c r="A236" s="3" t="s">
        <v>455</v>
      </c>
      <c r="B236" s="3">
        <v>0</v>
      </c>
      <c r="C236" s="3">
        <v>796</v>
      </c>
      <c r="D236" s="3">
        <v>64.7</v>
      </c>
      <c r="E236" s="3" t="str">
        <f>LOOKUP(C236,$G$2:$G$7,$H$2:$H$7)</f>
        <v>750+</v>
      </c>
    </row>
    <row r="237" spans="1:5" x14ac:dyDescent="0.3">
      <c r="A237" s="3" t="s">
        <v>455</v>
      </c>
      <c r="B237" s="3">
        <v>0</v>
      </c>
      <c r="C237" s="3">
        <v>796</v>
      </c>
      <c r="D237" s="3">
        <v>47.1</v>
      </c>
      <c r="E237" s="3" t="str">
        <f>LOOKUP(C237,$G$2:$G$7,$H$2:$H$7)</f>
        <v>750+</v>
      </c>
    </row>
    <row r="238" spans="1:5" x14ac:dyDescent="0.3">
      <c r="A238" s="3" t="s">
        <v>458</v>
      </c>
      <c r="B238" s="3">
        <v>0</v>
      </c>
      <c r="C238" s="3">
        <v>697</v>
      </c>
      <c r="D238" s="3">
        <v>39.1</v>
      </c>
      <c r="E238" s="3" t="str">
        <f>LOOKUP(C238,$G$2:$G$7,$H$2:$H$7)</f>
        <v>650-699</v>
      </c>
    </row>
    <row r="239" spans="1:5" x14ac:dyDescent="0.3">
      <c r="A239" s="3" t="s">
        <v>460</v>
      </c>
      <c r="B239" s="3">
        <v>0</v>
      </c>
      <c r="C239" s="3">
        <v>823</v>
      </c>
      <c r="D239" s="3">
        <v>81.900000000000006</v>
      </c>
      <c r="E239" s="3" t="str">
        <f>LOOKUP(C239,$G$2:$G$7,$H$2:$H$7)</f>
        <v>750+</v>
      </c>
    </row>
    <row r="240" spans="1:5" x14ac:dyDescent="0.3">
      <c r="A240" s="3" t="s">
        <v>462</v>
      </c>
      <c r="B240" s="3">
        <v>0</v>
      </c>
      <c r="C240" s="3">
        <v>850</v>
      </c>
      <c r="D240" s="3">
        <v>52</v>
      </c>
      <c r="E240" s="3" t="str">
        <f>LOOKUP(C240,$G$2:$G$7,$H$2:$H$7)</f>
        <v>750+</v>
      </c>
    </row>
    <row r="241" spans="1:5" x14ac:dyDescent="0.3">
      <c r="A241" s="3" t="s">
        <v>464</v>
      </c>
      <c r="B241" s="3">
        <v>0</v>
      </c>
      <c r="C241" s="3">
        <v>622</v>
      </c>
      <c r="D241" s="3">
        <v>48.2</v>
      </c>
      <c r="E241" s="3" t="str">
        <f>LOOKUP(C241,$G$2:$G$7,$H$2:$H$7)</f>
        <v>600-649</v>
      </c>
    </row>
    <row r="242" spans="1:5" x14ac:dyDescent="0.3">
      <c r="A242" s="3" t="s">
        <v>466</v>
      </c>
      <c r="B242" s="3">
        <v>1</v>
      </c>
      <c r="C242" s="3">
        <v>622</v>
      </c>
      <c r="D242" s="3">
        <v>139.69999999999999</v>
      </c>
      <c r="E242" s="3" t="str">
        <f>LOOKUP(C242,$G$2:$G$7,$H$2:$H$7)</f>
        <v>600-649</v>
      </c>
    </row>
    <row r="243" spans="1:5" x14ac:dyDescent="0.3">
      <c r="A243" s="3" t="s">
        <v>468</v>
      </c>
      <c r="B243" s="3">
        <v>1</v>
      </c>
      <c r="C243" s="3">
        <v>556</v>
      </c>
      <c r="D243" s="3">
        <v>74.599999999999994</v>
      </c>
      <c r="E243" s="3" t="str">
        <f>LOOKUP(C243,$G$2:$G$7,$H$2:$H$7)</f>
        <v>520-599</v>
      </c>
    </row>
    <row r="244" spans="1:5" x14ac:dyDescent="0.3">
      <c r="A244" s="3" t="s">
        <v>470</v>
      </c>
      <c r="B244" s="3">
        <v>0</v>
      </c>
      <c r="C244" s="3">
        <v>802</v>
      </c>
      <c r="D244" s="3">
        <v>49.7</v>
      </c>
      <c r="E244" s="3" t="str">
        <f>LOOKUP(C244,$G$2:$G$7,$H$2:$H$7)</f>
        <v>750+</v>
      </c>
    </row>
    <row r="245" spans="1:5" x14ac:dyDescent="0.3">
      <c r="A245" s="3" t="s">
        <v>470</v>
      </c>
      <c r="B245" s="3">
        <v>0</v>
      </c>
      <c r="C245" s="3">
        <v>802</v>
      </c>
      <c r="D245" s="3">
        <v>76.5</v>
      </c>
      <c r="E245" s="3" t="str">
        <f>LOOKUP(C245,$G$2:$G$7,$H$2:$H$7)</f>
        <v>750+</v>
      </c>
    </row>
    <row r="246" spans="1:5" x14ac:dyDescent="0.3">
      <c r="A246" s="3" t="s">
        <v>473</v>
      </c>
      <c r="B246" s="3">
        <v>1</v>
      </c>
      <c r="C246" s="3">
        <v>666</v>
      </c>
      <c r="D246" s="3">
        <v>83.2</v>
      </c>
      <c r="E246" s="3" t="str">
        <f>LOOKUP(C246,$G$2:$G$7,$H$2:$H$7)</f>
        <v>650-699</v>
      </c>
    </row>
    <row r="247" spans="1:5" x14ac:dyDescent="0.3">
      <c r="A247" s="3" t="s">
        <v>475</v>
      </c>
      <c r="B247" s="3">
        <v>1</v>
      </c>
      <c r="C247" s="3">
        <v>785</v>
      </c>
      <c r="D247" s="3">
        <v>21.8</v>
      </c>
      <c r="E247" s="3" t="str">
        <f>LOOKUP(C247,$G$2:$G$7,$H$2:$H$7)</f>
        <v>750+</v>
      </c>
    </row>
    <row r="248" spans="1:5" x14ac:dyDescent="0.3">
      <c r="A248" s="3" t="s">
        <v>477</v>
      </c>
      <c r="B248" s="3">
        <v>0</v>
      </c>
      <c r="C248" s="3">
        <v>742</v>
      </c>
      <c r="D248" s="3">
        <v>21.4</v>
      </c>
      <c r="E248" s="3" t="str">
        <f>LOOKUP(C248,$G$2:$G$7,$H$2:$H$7)</f>
        <v>700-749</v>
      </c>
    </row>
    <row r="249" spans="1:5" x14ac:dyDescent="0.3">
      <c r="A249" s="3" t="s">
        <v>477</v>
      </c>
      <c r="B249" s="3">
        <v>0</v>
      </c>
      <c r="C249" s="3">
        <v>742</v>
      </c>
      <c r="D249" s="3">
        <v>14.4</v>
      </c>
      <c r="E249" s="3" t="str">
        <f>LOOKUP(C249,$G$2:$G$7,$H$2:$H$7)</f>
        <v>700-749</v>
      </c>
    </row>
    <row r="250" spans="1:5" x14ac:dyDescent="0.3">
      <c r="A250" s="3" t="s">
        <v>480</v>
      </c>
      <c r="B250" s="3">
        <v>0</v>
      </c>
      <c r="C250" s="3">
        <v>770</v>
      </c>
      <c r="D250" s="3">
        <v>137.4</v>
      </c>
      <c r="E250" s="3" t="str">
        <f>LOOKUP(C250,$G$2:$G$7,$H$2:$H$7)</f>
        <v>750+</v>
      </c>
    </row>
    <row r="251" spans="1:5" x14ac:dyDescent="0.3">
      <c r="A251" s="3" t="s">
        <v>482</v>
      </c>
      <c r="B251" s="3">
        <v>0</v>
      </c>
      <c r="C251" s="3">
        <v>649</v>
      </c>
      <c r="D251" s="3">
        <v>22.8</v>
      </c>
      <c r="E251" s="3" t="str">
        <f>LOOKUP(C251,$G$2:$G$7,$H$2:$H$7)</f>
        <v>600-649</v>
      </c>
    </row>
    <row r="252" spans="1:5" x14ac:dyDescent="0.3">
      <c r="A252" s="3" t="s">
        <v>482</v>
      </c>
      <c r="B252" s="3">
        <v>0</v>
      </c>
      <c r="C252" s="3">
        <v>649</v>
      </c>
      <c r="D252" s="3">
        <v>29.9</v>
      </c>
      <c r="E252" s="3" t="str">
        <f>LOOKUP(C252,$G$2:$G$7,$H$2:$H$7)</f>
        <v>600-649</v>
      </c>
    </row>
    <row r="253" spans="1:5" x14ac:dyDescent="0.3">
      <c r="A253" s="3" t="s">
        <v>485</v>
      </c>
      <c r="B253" s="3">
        <v>0</v>
      </c>
      <c r="C253" s="3">
        <v>600</v>
      </c>
      <c r="D253" s="3">
        <v>51.1</v>
      </c>
      <c r="E253" s="3" t="str">
        <f>LOOKUP(C253,$G$2:$G$7,$H$2:$H$7)</f>
        <v>600-649</v>
      </c>
    </row>
    <row r="254" spans="1:5" x14ac:dyDescent="0.3">
      <c r="A254" s="3" t="s">
        <v>487</v>
      </c>
      <c r="B254" s="3">
        <v>0</v>
      </c>
      <c r="C254" s="3">
        <v>709</v>
      </c>
      <c r="D254" s="3">
        <v>49</v>
      </c>
      <c r="E254" s="3" t="str">
        <f>LOOKUP(C254,$G$2:$G$7,$H$2:$H$7)</f>
        <v>700-749</v>
      </c>
    </row>
    <row r="255" spans="1:5" x14ac:dyDescent="0.3">
      <c r="A255" s="3" t="s">
        <v>487</v>
      </c>
      <c r="B255" s="3">
        <v>0</v>
      </c>
      <c r="C255" s="3">
        <v>709</v>
      </c>
      <c r="D255" s="3">
        <v>49.8</v>
      </c>
      <c r="E255" s="3" t="str">
        <f>LOOKUP(C255,$G$2:$G$7,$H$2:$H$7)</f>
        <v>700-749</v>
      </c>
    </row>
    <row r="256" spans="1:5" x14ac:dyDescent="0.3">
      <c r="A256" s="3" t="s">
        <v>490</v>
      </c>
      <c r="B256" s="3">
        <v>1</v>
      </c>
      <c r="C256" s="3">
        <v>634</v>
      </c>
      <c r="D256" s="3">
        <v>17.3</v>
      </c>
      <c r="E256" s="3" t="str">
        <f>LOOKUP(C256,$G$2:$G$7,$H$2:$H$7)</f>
        <v>600-649</v>
      </c>
    </row>
    <row r="257" spans="1:5" x14ac:dyDescent="0.3">
      <c r="A257" s="3" t="s">
        <v>492</v>
      </c>
      <c r="B257" s="3">
        <v>0</v>
      </c>
      <c r="C257" s="3">
        <v>693</v>
      </c>
      <c r="D257" s="3">
        <v>67.3</v>
      </c>
      <c r="E257" s="3" t="str">
        <f>LOOKUP(C257,$G$2:$G$7,$H$2:$H$7)</f>
        <v>650-699</v>
      </c>
    </row>
    <row r="258" spans="1:5" x14ac:dyDescent="0.3">
      <c r="A258" s="3" t="s">
        <v>494</v>
      </c>
      <c r="B258" s="3">
        <v>0</v>
      </c>
      <c r="C258" s="3">
        <v>777</v>
      </c>
      <c r="D258" s="3">
        <v>71.099999999999994</v>
      </c>
      <c r="E258" s="3" t="str">
        <f>LOOKUP(C258,$G$2:$G$7,$H$2:$H$7)</f>
        <v>750+</v>
      </c>
    </row>
    <row r="259" spans="1:5" x14ac:dyDescent="0.3">
      <c r="A259" s="3" t="s">
        <v>496</v>
      </c>
      <c r="B259" s="3">
        <v>1</v>
      </c>
      <c r="C259" s="3">
        <v>620</v>
      </c>
      <c r="D259" s="3">
        <v>62.1</v>
      </c>
      <c r="E259" s="3" t="str">
        <f>LOOKUP(C259,$G$2:$G$7,$H$2:$H$7)</f>
        <v>600-649</v>
      </c>
    </row>
    <row r="260" spans="1:5" x14ac:dyDescent="0.3">
      <c r="A260" s="3" t="s">
        <v>496</v>
      </c>
      <c r="B260" s="3">
        <v>0</v>
      </c>
      <c r="C260" s="3">
        <v>620</v>
      </c>
      <c r="D260" s="3">
        <v>41.2</v>
      </c>
      <c r="E260" s="3" t="str">
        <f>LOOKUP(C260,$G$2:$G$7,$H$2:$H$7)</f>
        <v>600-649</v>
      </c>
    </row>
    <row r="261" spans="1:5" x14ac:dyDescent="0.3">
      <c r="A261" s="3" t="s">
        <v>499</v>
      </c>
      <c r="B261" s="3">
        <v>0</v>
      </c>
      <c r="C261" s="3">
        <v>748</v>
      </c>
      <c r="D261" s="3">
        <v>27.8</v>
      </c>
      <c r="E261" s="3" t="str">
        <f>LOOKUP(C261,$G$2:$G$7,$H$2:$H$7)</f>
        <v>700-749</v>
      </c>
    </row>
    <row r="262" spans="1:5" x14ac:dyDescent="0.3">
      <c r="A262" s="3" t="s">
        <v>501</v>
      </c>
      <c r="B262" s="3">
        <v>1</v>
      </c>
      <c r="C262" s="3">
        <v>721</v>
      </c>
      <c r="D262" s="3">
        <v>99.8</v>
      </c>
      <c r="E262" s="3" t="str">
        <f>LOOKUP(C262,$G$2:$G$7,$H$2:$H$7)</f>
        <v>700-749</v>
      </c>
    </row>
    <row r="263" spans="1:5" x14ac:dyDescent="0.3">
      <c r="A263" s="3" t="s">
        <v>503</v>
      </c>
      <c r="B263" s="3">
        <v>0</v>
      </c>
      <c r="C263" s="3">
        <v>655</v>
      </c>
      <c r="D263" s="3">
        <v>34.4</v>
      </c>
      <c r="E263" s="3" t="str">
        <f>LOOKUP(C263,$G$2:$G$7,$H$2:$H$7)</f>
        <v>650-699</v>
      </c>
    </row>
    <row r="264" spans="1:5" x14ac:dyDescent="0.3">
      <c r="A264" s="3" t="s">
        <v>505</v>
      </c>
      <c r="B264" s="3">
        <v>0</v>
      </c>
      <c r="C264" s="3">
        <v>610</v>
      </c>
      <c r="D264" s="3">
        <v>14.5</v>
      </c>
      <c r="E264" s="3" t="str">
        <f>LOOKUP(C264,$G$2:$G$7,$H$2:$H$7)</f>
        <v>600-649</v>
      </c>
    </row>
    <row r="265" spans="1:5" x14ac:dyDescent="0.3">
      <c r="A265" s="3" t="s">
        <v>507</v>
      </c>
      <c r="B265" s="3">
        <v>0</v>
      </c>
      <c r="C265" s="3">
        <v>806</v>
      </c>
      <c r="D265" s="3">
        <v>38.1</v>
      </c>
      <c r="E265" s="3" t="str">
        <f>LOOKUP(C265,$G$2:$G$7,$H$2:$H$7)</f>
        <v>750+</v>
      </c>
    </row>
    <row r="266" spans="1:5" x14ac:dyDescent="0.3">
      <c r="A266" s="3" t="s">
        <v>509</v>
      </c>
      <c r="B266" s="3">
        <v>1</v>
      </c>
      <c r="C266" s="3">
        <v>799</v>
      </c>
      <c r="D266" s="3">
        <v>36.6</v>
      </c>
      <c r="E266" s="3" t="str">
        <f>LOOKUP(C266,$G$2:$G$7,$H$2:$H$7)</f>
        <v>750+</v>
      </c>
    </row>
    <row r="267" spans="1:5" x14ac:dyDescent="0.3">
      <c r="A267" s="3" t="s">
        <v>511</v>
      </c>
      <c r="B267" s="3">
        <v>1</v>
      </c>
      <c r="C267" s="3">
        <v>809</v>
      </c>
      <c r="D267" s="3">
        <v>26.5</v>
      </c>
      <c r="E267" s="3" t="str">
        <f>LOOKUP(C267,$G$2:$G$7,$H$2:$H$7)</f>
        <v>750+</v>
      </c>
    </row>
    <row r="268" spans="1:5" x14ac:dyDescent="0.3">
      <c r="A268" s="3" t="s">
        <v>513</v>
      </c>
      <c r="B268" s="3">
        <v>0</v>
      </c>
      <c r="C268" s="3">
        <v>778</v>
      </c>
      <c r="D268" s="3">
        <v>39.4</v>
      </c>
      <c r="E268" s="3" t="str">
        <f>LOOKUP(C268,$G$2:$G$7,$H$2:$H$7)</f>
        <v>750+</v>
      </c>
    </row>
    <row r="269" spans="1:5" x14ac:dyDescent="0.3">
      <c r="A269" s="3" t="s">
        <v>513</v>
      </c>
      <c r="B269" s="3">
        <v>0</v>
      </c>
      <c r="C269" s="3">
        <v>778</v>
      </c>
      <c r="D269" s="3">
        <v>43.3</v>
      </c>
      <c r="E269" s="3" t="str">
        <f>LOOKUP(C269,$G$2:$G$7,$H$2:$H$7)</f>
        <v>750+</v>
      </c>
    </row>
    <row r="270" spans="1:5" x14ac:dyDescent="0.3">
      <c r="A270" s="3" t="s">
        <v>516</v>
      </c>
      <c r="B270" s="3">
        <v>0</v>
      </c>
      <c r="C270" s="3">
        <v>742</v>
      </c>
      <c r="D270" s="3">
        <v>11</v>
      </c>
      <c r="E270" s="3" t="str">
        <f>LOOKUP(C270,$G$2:$G$7,$H$2:$H$7)</f>
        <v>700-749</v>
      </c>
    </row>
    <row r="271" spans="1:5" x14ac:dyDescent="0.3">
      <c r="A271" s="3" t="s">
        <v>518</v>
      </c>
      <c r="B271" s="3">
        <v>0</v>
      </c>
      <c r="C271" s="3">
        <v>570</v>
      </c>
      <c r="D271" s="3">
        <v>53.4</v>
      </c>
      <c r="E271" s="3" t="str">
        <f>LOOKUP(C271,$G$2:$G$7,$H$2:$H$7)</f>
        <v>520-599</v>
      </c>
    </row>
    <row r="272" spans="1:5" x14ac:dyDescent="0.3">
      <c r="A272" s="3" t="s">
        <v>520</v>
      </c>
      <c r="B272" s="3">
        <v>0</v>
      </c>
      <c r="C272" s="3">
        <v>730</v>
      </c>
      <c r="D272" s="3">
        <v>19.8</v>
      </c>
      <c r="E272" s="3" t="str">
        <f>LOOKUP(C272,$G$2:$G$7,$H$2:$H$7)</f>
        <v>700-749</v>
      </c>
    </row>
    <row r="273" spans="1:5" x14ac:dyDescent="0.3">
      <c r="A273" s="3" t="s">
        <v>522</v>
      </c>
      <c r="B273" s="3">
        <v>1</v>
      </c>
      <c r="C273" s="3">
        <v>610</v>
      </c>
      <c r="D273" s="3">
        <v>42.8</v>
      </c>
      <c r="E273" s="3" t="str">
        <f>LOOKUP(C273,$G$2:$G$7,$H$2:$H$7)</f>
        <v>600-649</v>
      </c>
    </row>
    <row r="274" spans="1:5" x14ac:dyDescent="0.3">
      <c r="A274" s="3" t="s">
        <v>524</v>
      </c>
      <c r="B274" s="3">
        <v>0</v>
      </c>
      <c r="C274" s="3">
        <v>787</v>
      </c>
      <c r="D274" s="3">
        <v>38.1</v>
      </c>
      <c r="E274" s="3" t="str">
        <f>LOOKUP(C274,$G$2:$G$7,$H$2:$H$7)</f>
        <v>750+</v>
      </c>
    </row>
    <row r="275" spans="1:5" x14ac:dyDescent="0.3">
      <c r="A275" s="3" t="s">
        <v>526</v>
      </c>
      <c r="B275" s="3">
        <v>1</v>
      </c>
      <c r="C275" s="3">
        <v>582</v>
      </c>
      <c r="D275" s="3">
        <v>177.4</v>
      </c>
      <c r="E275" s="3" t="str">
        <f>LOOKUP(C275,$G$2:$G$7,$H$2:$H$7)</f>
        <v>520-599</v>
      </c>
    </row>
    <row r="276" spans="1:5" x14ac:dyDescent="0.3">
      <c r="A276" s="3" t="s">
        <v>528</v>
      </c>
      <c r="B276" s="3">
        <v>0</v>
      </c>
      <c r="C276" s="3">
        <v>758</v>
      </c>
      <c r="D276" s="3">
        <v>51.2</v>
      </c>
      <c r="E276" s="3" t="str">
        <f>LOOKUP(C276,$G$2:$G$7,$H$2:$H$7)</f>
        <v>750+</v>
      </c>
    </row>
    <row r="277" spans="1:5" x14ac:dyDescent="0.3">
      <c r="A277" s="3" t="s">
        <v>530</v>
      </c>
      <c r="B277" s="3">
        <v>0</v>
      </c>
      <c r="C277" s="3">
        <v>683</v>
      </c>
      <c r="D277" s="3">
        <v>56.2</v>
      </c>
      <c r="E277" s="3" t="str">
        <f>LOOKUP(C277,$G$2:$G$7,$H$2:$H$7)</f>
        <v>650-699</v>
      </c>
    </row>
    <row r="278" spans="1:5" x14ac:dyDescent="0.3">
      <c r="A278" s="3" t="s">
        <v>532</v>
      </c>
      <c r="B278" s="3">
        <v>0</v>
      </c>
      <c r="C278" s="3">
        <v>816</v>
      </c>
      <c r="D278" s="3">
        <v>55.6</v>
      </c>
      <c r="E278" s="3" t="str">
        <f>LOOKUP(C278,$G$2:$G$7,$H$2:$H$7)</f>
        <v>750+</v>
      </c>
    </row>
    <row r="279" spans="1:5" x14ac:dyDescent="0.3">
      <c r="A279" s="3" t="s">
        <v>532</v>
      </c>
      <c r="B279" s="3">
        <v>1</v>
      </c>
      <c r="C279" s="3">
        <v>816</v>
      </c>
      <c r="D279" s="3">
        <v>61.5</v>
      </c>
      <c r="E279" s="3" t="str">
        <f>LOOKUP(C279,$G$2:$G$7,$H$2:$H$7)</f>
        <v>750+</v>
      </c>
    </row>
    <row r="280" spans="1:5" x14ac:dyDescent="0.3">
      <c r="A280" s="3" t="s">
        <v>535</v>
      </c>
      <c r="B280" s="3">
        <v>0</v>
      </c>
      <c r="C280" s="3">
        <v>711</v>
      </c>
      <c r="D280" s="3">
        <v>43.4</v>
      </c>
      <c r="E280" s="3" t="str">
        <f>LOOKUP(C280,$G$2:$G$7,$H$2:$H$7)</f>
        <v>700-749</v>
      </c>
    </row>
    <row r="281" spans="1:5" x14ac:dyDescent="0.3">
      <c r="A281" s="3" t="s">
        <v>537</v>
      </c>
      <c r="B281" s="3">
        <v>0</v>
      </c>
      <c r="C281" s="3">
        <v>772</v>
      </c>
      <c r="D281" s="3">
        <v>25.8</v>
      </c>
      <c r="E281" s="3" t="str">
        <f>LOOKUP(C281,$G$2:$G$7,$H$2:$H$7)</f>
        <v>750+</v>
      </c>
    </row>
    <row r="282" spans="1:5" x14ac:dyDescent="0.3">
      <c r="A282" s="3" t="s">
        <v>539</v>
      </c>
      <c r="B282" s="3">
        <v>0</v>
      </c>
      <c r="C282" s="3">
        <v>820</v>
      </c>
      <c r="D282" s="3">
        <v>46.2</v>
      </c>
      <c r="E282" s="3" t="str">
        <f>LOOKUP(C282,$G$2:$G$7,$H$2:$H$7)</f>
        <v>750+</v>
      </c>
    </row>
    <row r="283" spans="1:5" x14ac:dyDescent="0.3">
      <c r="A283" s="3" t="s">
        <v>541</v>
      </c>
      <c r="B283" s="3">
        <v>0</v>
      </c>
      <c r="C283" s="3">
        <v>642</v>
      </c>
      <c r="D283" s="3">
        <v>31.1</v>
      </c>
      <c r="E283" s="3" t="str">
        <f>LOOKUP(C283,$G$2:$G$7,$H$2:$H$7)</f>
        <v>600-649</v>
      </c>
    </row>
    <row r="284" spans="1:5" x14ac:dyDescent="0.3">
      <c r="A284" s="3" t="s">
        <v>543</v>
      </c>
      <c r="B284" s="3">
        <v>0</v>
      </c>
      <c r="C284" s="3">
        <v>816</v>
      </c>
      <c r="D284" s="3">
        <v>36.299999999999997</v>
      </c>
      <c r="E284" s="3" t="str">
        <f>LOOKUP(C284,$G$2:$G$7,$H$2:$H$7)</f>
        <v>750+</v>
      </c>
    </row>
    <row r="285" spans="1:5" x14ac:dyDescent="0.3">
      <c r="A285" s="3" t="s">
        <v>545</v>
      </c>
      <c r="B285" s="3">
        <v>0</v>
      </c>
      <c r="C285" s="3">
        <v>780</v>
      </c>
      <c r="D285" s="3">
        <v>60.7</v>
      </c>
      <c r="E285" s="3" t="str">
        <f>LOOKUP(C285,$G$2:$G$7,$H$2:$H$7)</f>
        <v>750+</v>
      </c>
    </row>
    <row r="286" spans="1:5" x14ac:dyDescent="0.3">
      <c r="A286" s="3" t="s">
        <v>547</v>
      </c>
      <c r="B286" s="3">
        <v>0</v>
      </c>
      <c r="C286" s="3">
        <v>713</v>
      </c>
      <c r="D286" s="3">
        <v>44.8</v>
      </c>
      <c r="E286" s="3" t="str">
        <f>LOOKUP(C286,$G$2:$G$7,$H$2:$H$7)</f>
        <v>700-749</v>
      </c>
    </row>
    <row r="287" spans="1:5" x14ac:dyDescent="0.3">
      <c r="A287" s="3" t="s">
        <v>549</v>
      </c>
      <c r="B287" s="3">
        <v>0</v>
      </c>
      <c r="C287" s="3">
        <v>729</v>
      </c>
      <c r="D287" s="3">
        <v>49.1</v>
      </c>
      <c r="E287" s="3" t="str">
        <f>LOOKUP(C287,$G$2:$G$7,$H$2:$H$7)</f>
        <v>700-749</v>
      </c>
    </row>
    <row r="288" spans="1:5" x14ac:dyDescent="0.3">
      <c r="A288" s="3" t="s">
        <v>551</v>
      </c>
      <c r="B288" s="3">
        <v>0</v>
      </c>
      <c r="C288" s="3">
        <v>738</v>
      </c>
      <c r="D288" s="3">
        <v>72.2</v>
      </c>
      <c r="E288" s="3" t="str">
        <f>LOOKUP(C288,$G$2:$G$7,$H$2:$H$7)</f>
        <v>700-749</v>
      </c>
    </row>
    <row r="289" spans="1:5" x14ac:dyDescent="0.3">
      <c r="A289" s="3" t="s">
        <v>553</v>
      </c>
      <c r="B289" s="3">
        <v>1</v>
      </c>
      <c r="C289" s="3">
        <v>671</v>
      </c>
      <c r="D289" s="3">
        <v>48.1</v>
      </c>
      <c r="E289" s="3" t="str">
        <f>LOOKUP(C289,$G$2:$G$7,$H$2:$H$7)</f>
        <v>650-699</v>
      </c>
    </row>
    <row r="290" spans="1:5" x14ac:dyDescent="0.3">
      <c r="A290" s="3" t="s">
        <v>553</v>
      </c>
      <c r="B290" s="3">
        <v>0</v>
      </c>
      <c r="C290" s="3">
        <v>671</v>
      </c>
      <c r="D290" s="3">
        <v>41.7</v>
      </c>
      <c r="E290" s="3" t="str">
        <f>LOOKUP(C290,$G$2:$G$7,$H$2:$H$7)</f>
        <v>650-699</v>
      </c>
    </row>
    <row r="291" spans="1:5" x14ac:dyDescent="0.3">
      <c r="A291" s="3" t="s">
        <v>556</v>
      </c>
      <c r="B291" s="3">
        <v>0</v>
      </c>
      <c r="C291" s="3">
        <v>795</v>
      </c>
      <c r="D291" s="3">
        <v>57.1</v>
      </c>
      <c r="E291" s="3" t="str">
        <f>LOOKUP(C291,$G$2:$G$7,$H$2:$H$7)</f>
        <v>750+</v>
      </c>
    </row>
    <row r="292" spans="1:5" x14ac:dyDescent="0.3">
      <c r="A292" s="3" t="s">
        <v>556</v>
      </c>
      <c r="B292" s="3">
        <v>0</v>
      </c>
      <c r="C292" s="3">
        <v>795</v>
      </c>
      <c r="D292" s="3">
        <v>56.5</v>
      </c>
      <c r="E292" s="3" t="str">
        <f>LOOKUP(C292,$G$2:$G$7,$H$2:$H$7)</f>
        <v>750+</v>
      </c>
    </row>
    <row r="293" spans="1:5" x14ac:dyDescent="0.3">
      <c r="A293" s="3" t="s">
        <v>559</v>
      </c>
      <c r="B293" s="3">
        <v>0</v>
      </c>
      <c r="C293" s="3">
        <v>554</v>
      </c>
      <c r="D293" s="3">
        <v>25.2</v>
      </c>
      <c r="E293" s="3" t="str">
        <f>LOOKUP(C293,$G$2:$G$7,$H$2:$H$7)</f>
        <v>520-599</v>
      </c>
    </row>
    <row r="294" spans="1:5" x14ac:dyDescent="0.3">
      <c r="A294" s="3" t="s">
        <v>561</v>
      </c>
      <c r="B294" s="3">
        <v>0</v>
      </c>
      <c r="C294" s="3">
        <v>841</v>
      </c>
      <c r="D294" s="3">
        <v>70</v>
      </c>
      <c r="E294" s="3" t="str">
        <f>LOOKUP(C294,$G$2:$G$7,$H$2:$H$7)</f>
        <v>750+</v>
      </c>
    </row>
    <row r="295" spans="1:5" x14ac:dyDescent="0.3">
      <c r="A295" s="3" t="s">
        <v>563</v>
      </c>
      <c r="B295" s="3">
        <v>0</v>
      </c>
      <c r="C295" s="3">
        <v>791</v>
      </c>
      <c r="D295" s="3">
        <v>65.5</v>
      </c>
      <c r="E295" s="3" t="str">
        <f>LOOKUP(C295,$G$2:$G$7,$H$2:$H$7)</f>
        <v>750+</v>
      </c>
    </row>
    <row r="296" spans="1:5" x14ac:dyDescent="0.3">
      <c r="A296" s="3" t="s">
        <v>565</v>
      </c>
      <c r="B296" s="3">
        <v>1</v>
      </c>
      <c r="C296" s="3">
        <v>574</v>
      </c>
      <c r="D296" s="3">
        <v>66.2</v>
      </c>
      <c r="E296" s="3" t="str">
        <f>LOOKUP(C296,$G$2:$G$7,$H$2:$H$7)</f>
        <v>520-599</v>
      </c>
    </row>
    <row r="297" spans="1:5" x14ac:dyDescent="0.3">
      <c r="A297" s="3" t="s">
        <v>567</v>
      </c>
      <c r="B297" s="3">
        <v>0</v>
      </c>
      <c r="C297" s="3">
        <v>737</v>
      </c>
      <c r="D297" s="3">
        <v>49.6</v>
      </c>
      <c r="E297" s="3" t="str">
        <f>LOOKUP(C297,$G$2:$G$7,$H$2:$H$7)</f>
        <v>700-749</v>
      </c>
    </row>
    <row r="298" spans="1:5" x14ac:dyDescent="0.3">
      <c r="A298" s="3" t="s">
        <v>569</v>
      </c>
      <c r="B298" s="3">
        <v>1</v>
      </c>
      <c r="C298" s="3">
        <v>587</v>
      </c>
      <c r="D298" s="3">
        <v>50.9</v>
      </c>
      <c r="E298" s="3" t="str">
        <f>LOOKUP(C298,$G$2:$G$7,$H$2:$H$7)</f>
        <v>520-599</v>
      </c>
    </row>
    <row r="299" spans="1:5" x14ac:dyDescent="0.3">
      <c r="A299" s="3" t="s">
        <v>569</v>
      </c>
      <c r="B299" s="3">
        <v>0</v>
      </c>
      <c r="C299" s="3">
        <v>587</v>
      </c>
      <c r="D299" s="3">
        <v>43.1</v>
      </c>
      <c r="E299" s="3" t="str">
        <f>LOOKUP(C299,$G$2:$G$7,$H$2:$H$7)</f>
        <v>520-599</v>
      </c>
    </row>
    <row r="300" spans="1:5" x14ac:dyDescent="0.3">
      <c r="A300" s="3" t="s">
        <v>572</v>
      </c>
      <c r="B300" s="3">
        <v>1</v>
      </c>
      <c r="C300" s="3">
        <v>694</v>
      </c>
      <c r="D300" s="3">
        <v>40.200000000000003</v>
      </c>
      <c r="E300" s="3" t="str">
        <f>LOOKUP(C300,$G$2:$G$7,$H$2:$H$7)</f>
        <v>650-699</v>
      </c>
    </row>
    <row r="301" spans="1:5" x14ac:dyDescent="0.3">
      <c r="A301" s="3" t="s">
        <v>574</v>
      </c>
      <c r="B301" s="3">
        <v>0</v>
      </c>
      <c r="C301" s="3">
        <v>568</v>
      </c>
      <c r="D301" s="3">
        <v>16.100000000000001</v>
      </c>
      <c r="E301" s="3" t="str">
        <f>LOOKUP(C301,$G$2:$G$7,$H$2:$H$7)</f>
        <v>520-599</v>
      </c>
    </row>
    <row r="302" spans="1:5" x14ac:dyDescent="0.3">
      <c r="A302" s="3" t="s">
        <v>576</v>
      </c>
      <c r="B302" s="3">
        <v>0</v>
      </c>
      <c r="C302" s="3">
        <v>728</v>
      </c>
      <c r="D302" s="3">
        <v>51.2</v>
      </c>
      <c r="E302" s="3" t="str">
        <f>LOOKUP(C302,$G$2:$G$7,$H$2:$H$7)</f>
        <v>700-749</v>
      </c>
    </row>
    <row r="303" spans="1:5" x14ac:dyDescent="0.3">
      <c r="A303" s="3" t="s">
        <v>578</v>
      </c>
      <c r="B303" s="3">
        <v>0</v>
      </c>
      <c r="C303" s="3">
        <v>606</v>
      </c>
      <c r="D303" s="3">
        <v>66.5</v>
      </c>
      <c r="E303" s="3" t="str">
        <f>LOOKUP(C303,$G$2:$G$7,$H$2:$H$7)</f>
        <v>600-649</v>
      </c>
    </row>
    <row r="304" spans="1:5" x14ac:dyDescent="0.3">
      <c r="A304" s="3" t="s">
        <v>580</v>
      </c>
      <c r="B304" s="3">
        <v>0</v>
      </c>
      <c r="C304" s="3">
        <v>704</v>
      </c>
      <c r="D304" s="3">
        <v>52.7</v>
      </c>
      <c r="E304" s="3" t="str">
        <f>LOOKUP(C304,$G$2:$G$7,$H$2:$H$7)</f>
        <v>700-749</v>
      </c>
    </row>
    <row r="305" spans="1:5" x14ac:dyDescent="0.3">
      <c r="A305" s="3" t="s">
        <v>580</v>
      </c>
      <c r="B305" s="3">
        <v>1</v>
      </c>
      <c r="C305" s="3">
        <v>704</v>
      </c>
      <c r="D305" s="3">
        <v>70.5</v>
      </c>
      <c r="E305" s="3" t="str">
        <f>LOOKUP(C305,$G$2:$G$7,$H$2:$H$7)</f>
        <v>700-749</v>
      </c>
    </row>
    <row r="306" spans="1:5" x14ac:dyDescent="0.3">
      <c r="A306" s="3" t="s">
        <v>583</v>
      </c>
      <c r="B306" s="3">
        <v>0</v>
      </c>
      <c r="C306" s="3">
        <v>651</v>
      </c>
      <c r="D306" s="3">
        <v>54</v>
      </c>
      <c r="E306" s="3" t="str">
        <f>LOOKUP(C306,$G$2:$G$7,$H$2:$H$7)</f>
        <v>650-699</v>
      </c>
    </row>
    <row r="307" spans="1:5" x14ac:dyDescent="0.3">
      <c r="A307" s="3" t="s">
        <v>585</v>
      </c>
      <c r="B307" s="3">
        <v>0</v>
      </c>
      <c r="C307" s="3">
        <v>656</v>
      </c>
      <c r="D307" s="3">
        <v>49.6</v>
      </c>
      <c r="E307" s="3" t="str">
        <f>LOOKUP(C307,$G$2:$G$7,$H$2:$H$7)</f>
        <v>650-699</v>
      </c>
    </row>
    <row r="308" spans="1:5" x14ac:dyDescent="0.3">
      <c r="A308" s="3" t="s">
        <v>587</v>
      </c>
      <c r="B308" s="3">
        <v>0</v>
      </c>
      <c r="C308" s="3">
        <v>537</v>
      </c>
      <c r="D308" s="3">
        <v>27</v>
      </c>
      <c r="E308" s="3" t="str">
        <f>LOOKUP(C308,$G$2:$G$7,$H$2:$H$7)</f>
        <v>520-599</v>
      </c>
    </row>
    <row r="309" spans="1:5" x14ac:dyDescent="0.3">
      <c r="A309" s="3" t="s">
        <v>589</v>
      </c>
      <c r="B309" s="3">
        <v>1</v>
      </c>
      <c r="C309" s="3">
        <v>582</v>
      </c>
      <c r="D309" s="3">
        <v>38.299999999999997</v>
      </c>
      <c r="E309" s="3" t="str">
        <f>LOOKUP(C309,$G$2:$G$7,$H$2:$H$7)</f>
        <v>520-599</v>
      </c>
    </row>
    <row r="310" spans="1:5" x14ac:dyDescent="0.3">
      <c r="A310" s="3" t="s">
        <v>591</v>
      </c>
      <c r="B310" s="3">
        <v>0</v>
      </c>
      <c r="C310" s="3">
        <v>583</v>
      </c>
      <c r="D310" s="3">
        <v>34.299999999999997</v>
      </c>
      <c r="E310" s="3" t="str">
        <f>LOOKUP(C310,$G$2:$G$7,$H$2:$H$7)</f>
        <v>520-599</v>
      </c>
    </row>
    <row r="311" spans="1:5" x14ac:dyDescent="0.3">
      <c r="A311" s="3" t="s">
        <v>593</v>
      </c>
      <c r="B311" s="3">
        <v>0</v>
      </c>
      <c r="C311" s="3">
        <v>599</v>
      </c>
      <c r="D311" s="3">
        <v>71.2</v>
      </c>
      <c r="E311" s="3" t="str">
        <f>LOOKUP(C311,$G$2:$G$7,$H$2:$H$7)</f>
        <v>520-599</v>
      </c>
    </row>
    <row r="312" spans="1:5" x14ac:dyDescent="0.3">
      <c r="A312" s="3" t="s">
        <v>595</v>
      </c>
      <c r="B312" s="3">
        <v>0</v>
      </c>
      <c r="C312" s="3">
        <v>783</v>
      </c>
      <c r="D312" s="3">
        <v>85.7</v>
      </c>
      <c r="E312" s="3" t="str">
        <f>LOOKUP(C312,$G$2:$G$7,$H$2:$H$7)</f>
        <v>750+</v>
      </c>
    </row>
    <row r="313" spans="1:5" x14ac:dyDescent="0.3">
      <c r="A313" s="3" t="s">
        <v>595</v>
      </c>
      <c r="B313" s="3">
        <v>0</v>
      </c>
      <c r="C313" s="3">
        <v>783</v>
      </c>
      <c r="D313" s="3">
        <v>26</v>
      </c>
      <c r="E313" s="3" t="str">
        <f>LOOKUP(C313,$G$2:$G$7,$H$2:$H$7)</f>
        <v>750+</v>
      </c>
    </row>
    <row r="314" spans="1:5" x14ac:dyDescent="0.3">
      <c r="A314" s="3" t="s">
        <v>598</v>
      </c>
      <c r="B314" s="3">
        <v>0</v>
      </c>
      <c r="C314" s="3">
        <v>693</v>
      </c>
      <c r="D314" s="3">
        <v>76.099999999999994</v>
      </c>
      <c r="E314" s="3" t="str">
        <f>LOOKUP(C314,$G$2:$G$7,$H$2:$H$7)</f>
        <v>650-699</v>
      </c>
    </row>
    <row r="315" spans="1:5" x14ac:dyDescent="0.3">
      <c r="A315" s="3" t="s">
        <v>600</v>
      </c>
      <c r="B315" s="3">
        <v>0</v>
      </c>
      <c r="C315" s="3">
        <v>632</v>
      </c>
      <c r="D315" s="3">
        <v>46.7</v>
      </c>
      <c r="E315" s="3" t="str">
        <f>LOOKUP(C315,$G$2:$G$7,$H$2:$H$7)</f>
        <v>600-649</v>
      </c>
    </row>
    <row r="316" spans="1:5" x14ac:dyDescent="0.3">
      <c r="A316" s="3" t="s">
        <v>602</v>
      </c>
      <c r="B316" s="3">
        <v>0</v>
      </c>
      <c r="C316" s="3">
        <v>696</v>
      </c>
      <c r="D316" s="3">
        <v>11.8</v>
      </c>
      <c r="E316" s="3" t="str">
        <f>LOOKUP(C316,$G$2:$G$7,$H$2:$H$7)</f>
        <v>650-699</v>
      </c>
    </row>
    <row r="317" spans="1:5" x14ac:dyDescent="0.3">
      <c r="A317" s="3" t="s">
        <v>604</v>
      </c>
      <c r="B317" s="3">
        <v>0</v>
      </c>
      <c r="C317" s="3">
        <v>801</v>
      </c>
      <c r="D317" s="3">
        <v>96.6</v>
      </c>
      <c r="E317" s="3" t="str">
        <f>LOOKUP(C317,$G$2:$G$7,$H$2:$H$7)</f>
        <v>750+</v>
      </c>
    </row>
    <row r="318" spans="1:5" x14ac:dyDescent="0.3">
      <c r="A318" s="3" t="s">
        <v>606</v>
      </c>
      <c r="B318" s="3">
        <v>0</v>
      </c>
      <c r="C318" s="3">
        <v>759</v>
      </c>
      <c r="D318" s="3">
        <v>72.599999999999994</v>
      </c>
      <c r="E318" s="3" t="str">
        <f>LOOKUP(C318,$G$2:$G$7,$H$2:$H$7)</f>
        <v>750+</v>
      </c>
    </row>
    <row r="319" spans="1:5" x14ac:dyDescent="0.3">
      <c r="A319" s="3" t="s">
        <v>606</v>
      </c>
      <c r="B319" s="3">
        <v>0</v>
      </c>
      <c r="C319" s="3">
        <v>759</v>
      </c>
      <c r="D319" s="3">
        <v>48.2</v>
      </c>
      <c r="E319" s="3" t="str">
        <f>LOOKUP(C319,$G$2:$G$7,$H$2:$H$7)</f>
        <v>750+</v>
      </c>
    </row>
    <row r="320" spans="1:5" x14ac:dyDescent="0.3">
      <c r="A320" s="3" t="s">
        <v>609</v>
      </c>
      <c r="B320" s="3">
        <v>0</v>
      </c>
      <c r="C320" s="3">
        <v>841</v>
      </c>
      <c r="D320" s="3">
        <v>64.8</v>
      </c>
      <c r="E320" s="3" t="str">
        <f>LOOKUP(C320,$G$2:$G$7,$H$2:$H$7)</f>
        <v>750+</v>
      </c>
    </row>
    <row r="321" spans="1:5" x14ac:dyDescent="0.3">
      <c r="A321" s="3" t="s">
        <v>609</v>
      </c>
      <c r="B321" s="3">
        <v>1</v>
      </c>
      <c r="C321" s="3">
        <v>841</v>
      </c>
      <c r="D321" s="3">
        <v>59.8</v>
      </c>
      <c r="E321" s="3" t="str">
        <f>LOOKUP(C321,$G$2:$G$7,$H$2:$H$7)</f>
        <v>750+</v>
      </c>
    </row>
    <row r="322" spans="1:5" x14ac:dyDescent="0.3">
      <c r="A322" s="3" t="s">
        <v>612</v>
      </c>
      <c r="B322" s="3">
        <v>0</v>
      </c>
      <c r="C322" s="3">
        <v>819</v>
      </c>
      <c r="D322" s="3">
        <v>38.799999999999997</v>
      </c>
      <c r="E322" s="3" t="str">
        <f>LOOKUP(C322,$G$2:$G$7,$H$2:$H$7)</f>
        <v>750+</v>
      </c>
    </row>
    <row r="323" spans="1:5" x14ac:dyDescent="0.3">
      <c r="A323" s="3" t="s">
        <v>614</v>
      </c>
      <c r="B323" s="3">
        <v>0</v>
      </c>
      <c r="C323" s="3">
        <v>734</v>
      </c>
      <c r="D323" s="3">
        <v>30.9</v>
      </c>
      <c r="E323" s="3" t="str">
        <f>LOOKUP(C323,$G$2:$G$7,$H$2:$H$7)</f>
        <v>700-749</v>
      </c>
    </row>
    <row r="324" spans="1:5" x14ac:dyDescent="0.3">
      <c r="A324" s="3" t="s">
        <v>616</v>
      </c>
      <c r="B324" s="3">
        <v>0</v>
      </c>
      <c r="C324" s="3">
        <v>829</v>
      </c>
      <c r="D324" s="3">
        <v>68.099999999999994</v>
      </c>
      <c r="E324" s="3" t="str">
        <f>LOOKUP(C324,$G$2:$G$7,$H$2:$H$7)</f>
        <v>750+</v>
      </c>
    </row>
    <row r="325" spans="1:5" x14ac:dyDescent="0.3">
      <c r="A325" s="3" t="s">
        <v>616</v>
      </c>
      <c r="B325" s="3">
        <v>0</v>
      </c>
      <c r="C325" s="3">
        <v>829</v>
      </c>
      <c r="D325" s="3">
        <v>47.1</v>
      </c>
      <c r="E325" s="3" t="str">
        <f>LOOKUP(C325,$G$2:$G$7,$H$2:$H$7)</f>
        <v>750+</v>
      </c>
    </row>
    <row r="326" spans="1:5" x14ac:dyDescent="0.3">
      <c r="A326" s="3" t="s">
        <v>619</v>
      </c>
      <c r="B326" s="3">
        <v>1</v>
      </c>
      <c r="C326" s="3">
        <v>583</v>
      </c>
      <c r="D326" s="3">
        <v>109.3</v>
      </c>
      <c r="E326" s="3" t="str">
        <f>LOOKUP(C326,$G$2:$G$7,$H$2:$H$7)</f>
        <v>520-599</v>
      </c>
    </row>
    <row r="327" spans="1:5" x14ac:dyDescent="0.3">
      <c r="A327" s="3" t="s">
        <v>619</v>
      </c>
      <c r="B327" s="3">
        <v>0</v>
      </c>
      <c r="C327" s="3">
        <v>583</v>
      </c>
      <c r="D327" s="3">
        <v>56.6</v>
      </c>
      <c r="E327" s="3" t="str">
        <f>LOOKUP(C327,$G$2:$G$7,$H$2:$H$7)</f>
        <v>520-599</v>
      </c>
    </row>
    <row r="328" spans="1:5" x14ac:dyDescent="0.3">
      <c r="A328" s="3" t="s">
        <v>622</v>
      </c>
      <c r="B328" s="3">
        <v>0</v>
      </c>
      <c r="C328" s="3">
        <v>801</v>
      </c>
      <c r="D328" s="3">
        <v>117.3</v>
      </c>
      <c r="E328" s="3" t="str">
        <f>LOOKUP(C328,$G$2:$G$7,$H$2:$H$7)</f>
        <v>750+</v>
      </c>
    </row>
    <row r="329" spans="1:5" x14ac:dyDescent="0.3">
      <c r="A329" s="3" t="s">
        <v>624</v>
      </c>
      <c r="B329" s="3">
        <v>1</v>
      </c>
      <c r="C329" s="3">
        <v>541</v>
      </c>
      <c r="D329" s="3">
        <v>119.6</v>
      </c>
      <c r="E329" s="3" t="str">
        <f>LOOKUP(C329,$G$2:$G$7,$H$2:$H$7)</f>
        <v>520-599</v>
      </c>
    </row>
    <row r="330" spans="1:5" x14ac:dyDescent="0.3">
      <c r="A330" s="3" t="s">
        <v>626</v>
      </c>
      <c r="B330" s="3">
        <v>1</v>
      </c>
      <c r="C330" s="3">
        <v>743</v>
      </c>
      <c r="D330" s="3">
        <v>39.9</v>
      </c>
      <c r="E330" s="3" t="str">
        <f>LOOKUP(C330,$G$2:$G$7,$H$2:$H$7)</f>
        <v>700-749</v>
      </c>
    </row>
    <row r="331" spans="1:5" x14ac:dyDescent="0.3">
      <c r="A331" s="3" t="s">
        <v>628</v>
      </c>
      <c r="B331" s="3">
        <v>0</v>
      </c>
      <c r="C331" s="3">
        <v>636</v>
      </c>
      <c r="D331" s="3">
        <v>23</v>
      </c>
      <c r="E331" s="3" t="str">
        <f>LOOKUP(C331,$G$2:$G$7,$H$2:$H$7)</f>
        <v>600-649</v>
      </c>
    </row>
    <row r="332" spans="1:5" x14ac:dyDescent="0.3">
      <c r="A332" s="3" t="s">
        <v>630</v>
      </c>
      <c r="B332" s="3">
        <v>0</v>
      </c>
      <c r="C332" s="3">
        <v>582</v>
      </c>
      <c r="D332" s="3">
        <v>29.8</v>
      </c>
      <c r="E332" s="3" t="str">
        <f>LOOKUP(C332,$G$2:$G$7,$H$2:$H$7)</f>
        <v>520-599</v>
      </c>
    </row>
    <row r="333" spans="1:5" x14ac:dyDescent="0.3">
      <c r="A333" s="3" t="s">
        <v>632</v>
      </c>
      <c r="B333" s="3">
        <v>0</v>
      </c>
      <c r="C333" s="3">
        <v>850</v>
      </c>
      <c r="D333" s="3">
        <v>38.1</v>
      </c>
      <c r="E333" s="3" t="str">
        <f>LOOKUP(C333,$G$2:$G$7,$H$2:$H$7)</f>
        <v>750+</v>
      </c>
    </row>
    <row r="334" spans="1:5" x14ac:dyDescent="0.3">
      <c r="A334" s="3" t="s">
        <v>634</v>
      </c>
      <c r="B334" s="3">
        <v>0</v>
      </c>
      <c r="C334" s="3">
        <v>692</v>
      </c>
      <c r="D334" s="3">
        <v>29.9</v>
      </c>
      <c r="E334" s="3" t="str">
        <f>LOOKUP(C334,$G$2:$G$7,$H$2:$H$7)</f>
        <v>650-699</v>
      </c>
    </row>
    <row r="335" spans="1:5" x14ac:dyDescent="0.3">
      <c r="A335" s="3" t="s">
        <v>636</v>
      </c>
      <c r="B335" s="3">
        <v>0</v>
      </c>
      <c r="C335" s="3">
        <v>840</v>
      </c>
      <c r="D335" s="3">
        <v>69.400000000000006</v>
      </c>
      <c r="E335" s="3" t="str">
        <f>LOOKUP(C335,$G$2:$G$7,$H$2:$H$7)</f>
        <v>750+</v>
      </c>
    </row>
    <row r="336" spans="1:5" x14ac:dyDescent="0.3">
      <c r="A336" s="3" t="s">
        <v>638</v>
      </c>
      <c r="B336" s="3">
        <v>0</v>
      </c>
      <c r="C336" s="3">
        <v>615</v>
      </c>
      <c r="D336" s="3">
        <v>33.4</v>
      </c>
      <c r="E336" s="3" t="str">
        <f>LOOKUP(C336,$G$2:$G$7,$H$2:$H$7)</f>
        <v>600-649</v>
      </c>
    </row>
    <row r="337" spans="1:5" x14ac:dyDescent="0.3">
      <c r="A337" s="3" t="s">
        <v>640</v>
      </c>
      <c r="B337" s="3">
        <v>0</v>
      </c>
      <c r="C337" s="3">
        <v>629</v>
      </c>
      <c r="D337" s="3">
        <v>40.9</v>
      </c>
      <c r="E337" s="3" t="str">
        <f>LOOKUP(C337,$G$2:$G$7,$H$2:$H$7)</f>
        <v>600-649</v>
      </c>
    </row>
    <row r="338" spans="1:5" x14ac:dyDescent="0.3">
      <c r="A338" s="3" t="s">
        <v>642</v>
      </c>
      <c r="B338" s="3">
        <v>0</v>
      </c>
      <c r="C338" s="3">
        <v>577</v>
      </c>
      <c r="D338" s="3">
        <v>44.4</v>
      </c>
      <c r="E338" s="3" t="str">
        <f>LOOKUP(C338,$G$2:$G$7,$H$2:$H$7)</f>
        <v>520-599</v>
      </c>
    </row>
    <row r="339" spans="1:5" x14ac:dyDescent="0.3">
      <c r="A339" s="3" t="s">
        <v>644</v>
      </c>
      <c r="B339" s="3">
        <v>0</v>
      </c>
      <c r="C339" s="3">
        <v>783</v>
      </c>
      <c r="D339" s="3">
        <v>77.5</v>
      </c>
      <c r="E339" s="3" t="str">
        <f>LOOKUP(C339,$G$2:$G$7,$H$2:$H$7)</f>
        <v>750+</v>
      </c>
    </row>
    <row r="340" spans="1:5" x14ac:dyDescent="0.3">
      <c r="A340" s="3" t="s">
        <v>646</v>
      </c>
      <c r="B340" s="3">
        <v>0</v>
      </c>
      <c r="C340" s="3">
        <v>765</v>
      </c>
      <c r="D340" s="3">
        <v>64</v>
      </c>
      <c r="E340" s="3" t="str">
        <f>LOOKUP(C340,$G$2:$G$7,$H$2:$H$7)</f>
        <v>750+</v>
      </c>
    </row>
    <row r="341" spans="1:5" x14ac:dyDescent="0.3">
      <c r="A341" s="3" t="s">
        <v>648</v>
      </c>
      <c r="B341" s="3">
        <v>0</v>
      </c>
      <c r="C341" s="3">
        <v>703</v>
      </c>
      <c r="D341" s="3">
        <v>22.8</v>
      </c>
      <c r="E341" s="3" t="str">
        <f>LOOKUP(C341,$G$2:$G$7,$H$2:$H$7)</f>
        <v>700-749</v>
      </c>
    </row>
    <row r="342" spans="1:5" x14ac:dyDescent="0.3">
      <c r="A342" s="3" t="s">
        <v>648</v>
      </c>
      <c r="B342" s="3">
        <v>0</v>
      </c>
      <c r="C342" s="3">
        <v>703</v>
      </c>
      <c r="D342" s="3">
        <v>145</v>
      </c>
      <c r="E342" s="3" t="str">
        <f>LOOKUP(C342,$G$2:$G$7,$H$2:$H$7)</f>
        <v>700-749</v>
      </c>
    </row>
    <row r="343" spans="1:5" x14ac:dyDescent="0.3">
      <c r="A343" s="3" t="s">
        <v>651</v>
      </c>
      <c r="B343" s="3">
        <v>0</v>
      </c>
      <c r="C343" s="3">
        <v>754</v>
      </c>
      <c r="D343" s="3">
        <v>25</v>
      </c>
      <c r="E343" s="3" t="str">
        <f>LOOKUP(C343,$G$2:$G$7,$H$2:$H$7)</f>
        <v>750+</v>
      </c>
    </row>
    <row r="344" spans="1:5" x14ac:dyDescent="0.3">
      <c r="A344" s="3" t="s">
        <v>651</v>
      </c>
      <c r="B344" s="3">
        <v>0</v>
      </c>
      <c r="C344" s="3">
        <v>754</v>
      </c>
      <c r="D344" s="3">
        <v>37.4</v>
      </c>
      <c r="E344" s="3" t="str">
        <f>LOOKUP(C344,$G$2:$G$7,$H$2:$H$7)</f>
        <v>750+</v>
      </c>
    </row>
    <row r="345" spans="1:5" x14ac:dyDescent="0.3">
      <c r="A345" s="3" t="s">
        <v>654</v>
      </c>
      <c r="B345" s="3">
        <v>0</v>
      </c>
      <c r="C345" s="3">
        <v>621</v>
      </c>
      <c r="D345" s="3">
        <v>31</v>
      </c>
      <c r="E345" s="3" t="str">
        <f>LOOKUP(C345,$G$2:$G$7,$H$2:$H$7)</f>
        <v>600-649</v>
      </c>
    </row>
    <row r="346" spans="1:5" x14ac:dyDescent="0.3">
      <c r="A346" s="3" t="s">
        <v>656</v>
      </c>
      <c r="B346" s="3">
        <v>0</v>
      </c>
      <c r="C346" s="3">
        <v>745</v>
      </c>
      <c r="D346" s="3">
        <v>58.9</v>
      </c>
      <c r="E346" s="3" t="str">
        <f>LOOKUP(C346,$G$2:$G$7,$H$2:$H$7)</f>
        <v>700-749</v>
      </c>
    </row>
    <row r="347" spans="1:5" x14ac:dyDescent="0.3">
      <c r="A347" s="3" t="s">
        <v>658</v>
      </c>
      <c r="B347" s="3">
        <v>0</v>
      </c>
      <c r="C347" s="3">
        <v>736</v>
      </c>
      <c r="D347" s="3">
        <v>38</v>
      </c>
      <c r="E347" s="3" t="str">
        <f>LOOKUP(C347,$G$2:$G$7,$H$2:$H$7)</f>
        <v>700-749</v>
      </c>
    </row>
    <row r="348" spans="1:5" x14ac:dyDescent="0.3">
      <c r="A348" s="3" t="s">
        <v>660</v>
      </c>
      <c r="B348" s="3">
        <v>0</v>
      </c>
      <c r="C348" s="3">
        <v>736</v>
      </c>
      <c r="D348" s="3">
        <v>37</v>
      </c>
      <c r="E348" s="3" t="str">
        <f>LOOKUP(C348,$G$2:$G$7,$H$2:$H$7)</f>
        <v>700-749</v>
      </c>
    </row>
    <row r="349" spans="1:5" x14ac:dyDescent="0.3">
      <c r="A349" s="3" t="s">
        <v>662</v>
      </c>
      <c r="B349" s="3">
        <v>1</v>
      </c>
      <c r="C349" s="3">
        <v>582</v>
      </c>
      <c r="D349" s="3">
        <v>26.1</v>
      </c>
      <c r="E349" s="3" t="str">
        <f>LOOKUP(C349,$G$2:$G$7,$H$2:$H$7)</f>
        <v>520-599</v>
      </c>
    </row>
    <row r="350" spans="1:5" x14ac:dyDescent="0.3">
      <c r="A350" s="3" t="s">
        <v>664</v>
      </c>
      <c r="B350" s="3">
        <v>0</v>
      </c>
      <c r="C350" s="3">
        <v>783</v>
      </c>
      <c r="D350" s="3">
        <v>53.6</v>
      </c>
      <c r="E350" s="3" t="str">
        <f>LOOKUP(C350,$G$2:$G$7,$H$2:$H$7)</f>
        <v>750+</v>
      </c>
    </row>
    <row r="351" spans="1:5" x14ac:dyDescent="0.3">
      <c r="A351" s="3" t="s">
        <v>666</v>
      </c>
      <c r="B351" s="3">
        <v>1</v>
      </c>
      <c r="C351" s="3">
        <v>574</v>
      </c>
      <c r="D351" s="3">
        <v>9.8000000000000007</v>
      </c>
      <c r="E351" s="3" t="str">
        <f>LOOKUP(C351,$G$2:$G$7,$H$2:$H$7)</f>
        <v>520-599</v>
      </c>
    </row>
    <row r="352" spans="1:5" x14ac:dyDescent="0.3">
      <c r="A352" s="3" t="s">
        <v>668</v>
      </c>
      <c r="B352" s="3">
        <v>0</v>
      </c>
      <c r="C352" s="3">
        <v>648</v>
      </c>
      <c r="D352" s="3">
        <v>19.899999999999999</v>
      </c>
      <c r="E352" s="3" t="str">
        <f>LOOKUP(C352,$G$2:$G$7,$H$2:$H$7)</f>
        <v>600-649</v>
      </c>
    </row>
    <row r="353" spans="1:5" x14ac:dyDescent="0.3">
      <c r="A353" s="3" t="s">
        <v>670</v>
      </c>
      <c r="B353" s="3">
        <v>1</v>
      </c>
      <c r="C353" s="3">
        <v>609</v>
      </c>
      <c r="D353" s="3">
        <v>62.4</v>
      </c>
      <c r="E353" s="3" t="str">
        <f>LOOKUP(C353,$G$2:$G$7,$H$2:$H$7)</f>
        <v>600-649</v>
      </c>
    </row>
    <row r="354" spans="1:5" x14ac:dyDescent="0.3">
      <c r="A354" s="3" t="s">
        <v>672</v>
      </c>
      <c r="B354" s="3">
        <v>0</v>
      </c>
      <c r="C354" s="3">
        <v>774</v>
      </c>
      <c r="D354" s="3">
        <v>29.5</v>
      </c>
      <c r="E354" s="3" t="str">
        <f>LOOKUP(C354,$G$2:$G$7,$H$2:$H$7)</f>
        <v>750+</v>
      </c>
    </row>
    <row r="355" spans="1:5" x14ac:dyDescent="0.3">
      <c r="A355" s="3" t="s">
        <v>672</v>
      </c>
      <c r="B355" s="3">
        <v>0</v>
      </c>
      <c r="C355" s="3">
        <v>774</v>
      </c>
      <c r="D355" s="3">
        <v>28.9</v>
      </c>
      <c r="E355" s="3" t="str">
        <f>LOOKUP(C355,$G$2:$G$7,$H$2:$H$7)</f>
        <v>750+</v>
      </c>
    </row>
    <row r="356" spans="1:5" x14ac:dyDescent="0.3">
      <c r="A356" s="3" t="s">
        <v>675</v>
      </c>
      <c r="B356" s="3">
        <v>0</v>
      </c>
      <c r="C356" s="3">
        <v>761</v>
      </c>
      <c r="D356" s="3">
        <v>21.3</v>
      </c>
      <c r="E356" s="3" t="str">
        <f>LOOKUP(C356,$G$2:$G$7,$H$2:$H$7)</f>
        <v>750+</v>
      </c>
    </row>
    <row r="357" spans="1:5" x14ac:dyDescent="0.3">
      <c r="A357" s="3" t="s">
        <v>677</v>
      </c>
      <c r="B357" s="3">
        <v>0</v>
      </c>
      <c r="C357" s="3">
        <v>720</v>
      </c>
      <c r="D357" s="3">
        <v>38.4</v>
      </c>
      <c r="E357" s="3" t="str">
        <f>LOOKUP(C357,$G$2:$G$7,$H$2:$H$7)</f>
        <v>700-749</v>
      </c>
    </row>
    <row r="358" spans="1:5" x14ac:dyDescent="0.3">
      <c r="A358" s="3" t="s">
        <v>679</v>
      </c>
      <c r="B358" s="3">
        <v>0</v>
      </c>
      <c r="C358" s="3">
        <v>644</v>
      </c>
      <c r="D358" s="3">
        <v>49.5</v>
      </c>
      <c r="E358" s="3" t="str">
        <f>LOOKUP(C358,$G$2:$G$7,$H$2:$H$7)</f>
        <v>600-649</v>
      </c>
    </row>
    <row r="359" spans="1:5" x14ac:dyDescent="0.3">
      <c r="A359" s="3" t="s">
        <v>681</v>
      </c>
      <c r="B359" s="3">
        <v>0</v>
      </c>
      <c r="C359" s="3">
        <v>831</v>
      </c>
      <c r="D359" s="3">
        <v>37.5</v>
      </c>
      <c r="E359" s="3" t="str">
        <f>LOOKUP(C359,$G$2:$G$7,$H$2:$H$7)</f>
        <v>750+</v>
      </c>
    </row>
    <row r="360" spans="1:5" x14ac:dyDescent="0.3">
      <c r="A360" s="3" t="s">
        <v>681</v>
      </c>
      <c r="B360" s="3">
        <v>0</v>
      </c>
      <c r="C360" s="3">
        <v>831</v>
      </c>
      <c r="D360" s="3">
        <v>26.7</v>
      </c>
      <c r="E360" s="3" t="str">
        <f>LOOKUP(C360,$G$2:$G$7,$H$2:$H$7)</f>
        <v>750+</v>
      </c>
    </row>
    <row r="361" spans="1:5" x14ac:dyDescent="0.3">
      <c r="A361" s="3" t="s">
        <v>684</v>
      </c>
      <c r="B361" s="3">
        <v>1</v>
      </c>
      <c r="C361" s="3">
        <v>846</v>
      </c>
      <c r="D361" s="3">
        <v>54.1</v>
      </c>
      <c r="E361" s="3" t="str">
        <f>LOOKUP(C361,$G$2:$G$7,$H$2:$H$7)</f>
        <v>750+</v>
      </c>
    </row>
    <row r="362" spans="1:5" x14ac:dyDescent="0.3">
      <c r="A362" s="3" t="s">
        <v>686</v>
      </c>
      <c r="B362" s="3">
        <v>1</v>
      </c>
      <c r="C362" s="3">
        <v>725</v>
      </c>
      <c r="D362" s="3">
        <v>64.099999999999994</v>
      </c>
      <c r="E362" s="3" t="str">
        <f>LOOKUP(C362,$G$2:$G$7,$H$2:$H$7)</f>
        <v>700-749</v>
      </c>
    </row>
    <row r="363" spans="1:5" x14ac:dyDescent="0.3">
      <c r="A363" s="3" t="s">
        <v>688</v>
      </c>
      <c r="B363" s="3">
        <v>0</v>
      </c>
      <c r="C363" s="3">
        <v>576</v>
      </c>
      <c r="D363" s="3">
        <v>86.4</v>
      </c>
      <c r="E363" s="3" t="str">
        <f>LOOKUP(C363,$G$2:$G$7,$H$2:$H$7)</f>
        <v>520-599</v>
      </c>
    </row>
    <row r="364" spans="1:5" x14ac:dyDescent="0.3">
      <c r="A364" s="3" t="s">
        <v>688</v>
      </c>
      <c r="B364" s="3">
        <v>1</v>
      </c>
      <c r="C364" s="3">
        <v>576</v>
      </c>
      <c r="D364" s="3">
        <v>55.4</v>
      </c>
      <c r="E364" s="3" t="str">
        <f>LOOKUP(C364,$G$2:$G$7,$H$2:$H$7)</f>
        <v>520-599</v>
      </c>
    </row>
    <row r="365" spans="1:5" x14ac:dyDescent="0.3">
      <c r="A365" s="3" t="s">
        <v>691</v>
      </c>
      <c r="B365" s="3">
        <v>0</v>
      </c>
      <c r="C365" s="3">
        <v>814</v>
      </c>
      <c r="D365" s="3">
        <v>55.1</v>
      </c>
      <c r="E365" s="3" t="str">
        <f>LOOKUP(C365,$G$2:$G$7,$H$2:$H$7)</f>
        <v>750+</v>
      </c>
    </row>
    <row r="366" spans="1:5" x14ac:dyDescent="0.3">
      <c r="A366" s="3" t="s">
        <v>691</v>
      </c>
      <c r="B366" s="3">
        <v>0</v>
      </c>
      <c r="C366" s="3">
        <v>814</v>
      </c>
      <c r="D366" s="3">
        <v>54</v>
      </c>
      <c r="E366" s="3" t="str">
        <f>LOOKUP(C366,$G$2:$G$7,$H$2:$H$7)</f>
        <v>750+</v>
      </c>
    </row>
    <row r="367" spans="1:5" x14ac:dyDescent="0.3">
      <c r="A367" s="3" t="s">
        <v>694</v>
      </c>
      <c r="B367" s="3">
        <v>1</v>
      </c>
      <c r="C367" s="3">
        <v>560</v>
      </c>
      <c r="D367" s="3">
        <v>67.8</v>
      </c>
      <c r="E367" s="3" t="str">
        <f>LOOKUP(C367,$G$2:$G$7,$H$2:$H$7)</f>
        <v>520-599</v>
      </c>
    </row>
    <row r="368" spans="1:5" x14ac:dyDescent="0.3">
      <c r="A368" s="3" t="s">
        <v>696</v>
      </c>
      <c r="B368" s="3">
        <v>0</v>
      </c>
      <c r="C368" s="3">
        <v>850</v>
      </c>
      <c r="D368" s="3">
        <v>76</v>
      </c>
      <c r="E368" s="3" t="str">
        <f>LOOKUP(C368,$G$2:$G$7,$H$2:$H$7)</f>
        <v>750+</v>
      </c>
    </row>
    <row r="369" spans="1:5" x14ac:dyDescent="0.3">
      <c r="A369" s="3" t="s">
        <v>696</v>
      </c>
      <c r="B369" s="3">
        <v>0</v>
      </c>
      <c r="C369" s="3">
        <v>850</v>
      </c>
      <c r="D369" s="3">
        <v>63.2</v>
      </c>
      <c r="E369" s="3" t="str">
        <f>LOOKUP(C369,$G$2:$G$7,$H$2:$H$7)</f>
        <v>750+</v>
      </c>
    </row>
    <row r="370" spans="1:5" x14ac:dyDescent="0.3">
      <c r="A370" s="3" t="s">
        <v>699</v>
      </c>
      <c r="B370" s="3">
        <v>0</v>
      </c>
      <c r="C370" s="3">
        <v>850</v>
      </c>
      <c r="D370" s="3">
        <v>66.099999999999994</v>
      </c>
      <c r="E370" s="3" t="str">
        <f>LOOKUP(C370,$G$2:$G$7,$H$2:$H$7)</f>
        <v>750+</v>
      </c>
    </row>
    <row r="371" spans="1:5" x14ac:dyDescent="0.3">
      <c r="A371" s="3" t="s">
        <v>701</v>
      </c>
      <c r="B371" s="3">
        <v>0</v>
      </c>
      <c r="C371" s="3">
        <v>838</v>
      </c>
      <c r="D371" s="3">
        <v>50.7</v>
      </c>
      <c r="E371" s="3" t="str">
        <f>LOOKUP(C371,$G$2:$G$7,$H$2:$H$7)</f>
        <v>750+</v>
      </c>
    </row>
    <row r="372" spans="1:5" x14ac:dyDescent="0.3">
      <c r="A372" s="3" t="s">
        <v>703</v>
      </c>
      <c r="B372" s="3">
        <v>0</v>
      </c>
      <c r="C372" s="3">
        <v>779</v>
      </c>
      <c r="D372" s="3">
        <v>34.200000000000003</v>
      </c>
      <c r="E372" s="3" t="str">
        <f>LOOKUP(C372,$G$2:$G$7,$H$2:$H$7)</f>
        <v>750+</v>
      </c>
    </row>
    <row r="373" spans="1:5" x14ac:dyDescent="0.3">
      <c r="A373" s="3" t="s">
        <v>705</v>
      </c>
      <c r="B373" s="3">
        <v>1</v>
      </c>
      <c r="C373" s="3">
        <v>585</v>
      </c>
      <c r="D373" s="3">
        <v>48.2</v>
      </c>
      <c r="E373" s="3" t="str">
        <f>LOOKUP(C373,$G$2:$G$7,$H$2:$H$7)</f>
        <v>520-599</v>
      </c>
    </row>
    <row r="374" spans="1:5" x14ac:dyDescent="0.3">
      <c r="A374" s="3" t="s">
        <v>707</v>
      </c>
      <c r="B374" s="3">
        <v>0</v>
      </c>
      <c r="C374" s="3">
        <v>779</v>
      </c>
      <c r="D374" s="3">
        <v>45.1</v>
      </c>
      <c r="E374" s="3" t="str">
        <f>LOOKUP(C374,$G$2:$G$7,$H$2:$H$7)</f>
        <v>750+</v>
      </c>
    </row>
    <row r="375" spans="1:5" x14ac:dyDescent="0.3">
      <c r="A375" s="3" t="s">
        <v>709</v>
      </c>
      <c r="B375" s="3">
        <v>1</v>
      </c>
      <c r="C375" s="3">
        <v>589</v>
      </c>
      <c r="D375" s="3">
        <v>69.7</v>
      </c>
      <c r="E375" s="3" t="str">
        <f>LOOKUP(C375,$G$2:$G$7,$H$2:$H$7)</f>
        <v>520-599</v>
      </c>
    </row>
    <row r="376" spans="1:5" x14ac:dyDescent="0.3">
      <c r="A376" s="3" t="s">
        <v>711</v>
      </c>
      <c r="B376" s="3">
        <v>0</v>
      </c>
      <c r="C376" s="3">
        <v>621</v>
      </c>
      <c r="D376" s="3">
        <v>51.9</v>
      </c>
      <c r="E376" s="3" t="str">
        <f>LOOKUP(C376,$G$2:$G$7,$H$2:$H$7)</f>
        <v>600-649</v>
      </c>
    </row>
    <row r="377" spans="1:5" x14ac:dyDescent="0.3">
      <c r="A377" s="3" t="s">
        <v>713</v>
      </c>
      <c r="B377" s="3">
        <v>0</v>
      </c>
      <c r="C377" s="3">
        <v>673</v>
      </c>
      <c r="D377" s="3">
        <v>67.099999999999994</v>
      </c>
      <c r="E377" s="3" t="str">
        <f>LOOKUP(C377,$G$2:$G$7,$H$2:$H$7)</f>
        <v>650-699</v>
      </c>
    </row>
    <row r="378" spans="1:5" x14ac:dyDescent="0.3">
      <c r="A378" s="3" t="s">
        <v>715</v>
      </c>
      <c r="B378" s="3">
        <v>0</v>
      </c>
      <c r="C378" s="3">
        <v>730</v>
      </c>
      <c r="D378" s="3">
        <v>76.8</v>
      </c>
      <c r="E378" s="3" t="str">
        <f>LOOKUP(C378,$G$2:$G$7,$H$2:$H$7)</f>
        <v>700-749</v>
      </c>
    </row>
    <row r="379" spans="1:5" x14ac:dyDescent="0.3">
      <c r="A379" s="3" t="s">
        <v>717</v>
      </c>
      <c r="B379" s="3">
        <v>1</v>
      </c>
      <c r="C379" s="3">
        <v>674</v>
      </c>
      <c r="D379" s="3">
        <v>41</v>
      </c>
      <c r="E379" s="3" t="str">
        <f>LOOKUP(C379,$G$2:$G$7,$H$2:$H$7)</f>
        <v>650-699</v>
      </c>
    </row>
    <row r="380" spans="1:5" x14ac:dyDescent="0.3">
      <c r="A380" s="3" t="s">
        <v>719</v>
      </c>
      <c r="B380" s="3">
        <v>0</v>
      </c>
      <c r="C380" s="3">
        <v>819</v>
      </c>
      <c r="D380" s="3">
        <v>20.9</v>
      </c>
      <c r="E380" s="3" t="str">
        <f>LOOKUP(C380,$G$2:$G$7,$H$2:$H$7)</f>
        <v>750+</v>
      </c>
    </row>
    <row r="381" spans="1:5" x14ac:dyDescent="0.3">
      <c r="A381" s="3" t="s">
        <v>721</v>
      </c>
      <c r="B381" s="3">
        <v>0</v>
      </c>
      <c r="C381" s="3">
        <v>701</v>
      </c>
      <c r="D381" s="3">
        <v>64.5</v>
      </c>
      <c r="E381" s="3" t="str">
        <f>LOOKUP(C381,$G$2:$G$7,$H$2:$H$7)</f>
        <v>700-749</v>
      </c>
    </row>
    <row r="382" spans="1:5" x14ac:dyDescent="0.3">
      <c r="A382" s="3" t="s">
        <v>723</v>
      </c>
      <c r="B382" s="3">
        <v>1</v>
      </c>
      <c r="C382" s="3">
        <v>555</v>
      </c>
      <c r="D382" s="3">
        <v>36.200000000000003</v>
      </c>
      <c r="E382" s="3" t="str">
        <f>LOOKUP(C382,$G$2:$G$7,$H$2:$H$7)</f>
        <v>520-599</v>
      </c>
    </row>
    <row r="383" spans="1:5" x14ac:dyDescent="0.3">
      <c r="A383" s="3" t="s">
        <v>725</v>
      </c>
      <c r="B383" s="3">
        <v>1</v>
      </c>
      <c r="C383" s="3">
        <v>578</v>
      </c>
      <c r="D383" s="3">
        <v>30.3</v>
      </c>
      <c r="E383" s="3" t="str">
        <f>LOOKUP(C383,$G$2:$G$7,$H$2:$H$7)</f>
        <v>520-599</v>
      </c>
    </row>
    <row r="384" spans="1:5" x14ac:dyDescent="0.3">
      <c r="A384" s="3" t="s">
        <v>727</v>
      </c>
      <c r="B384" s="3">
        <v>0</v>
      </c>
      <c r="C384" s="3">
        <v>674</v>
      </c>
      <c r="D384" s="3">
        <v>121.8</v>
      </c>
      <c r="E384" s="3" t="str">
        <f>LOOKUP(C384,$G$2:$G$7,$H$2:$H$7)</f>
        <v>650-699</v>
      </c>
    </row>
    <row r="385" spans="1:5" x14ac:dyDescent="0.3">
      <c r="A385" s="3" t="s">
        <v>729</v>
      </c>
      <c r="B385" s="3">
        <v>0</v>
      </c>
      <c r="C385" s="3">
        <v>628</v>
      </c>
      <c r="D385" s="3">
        <v>37.200000000000003</v>
      </c>
      <c r="E385" s="3" t="str">
        <f>LOOKUP(C385,$G$2:$G$7,$H$2:$H$7)</f>
        <v>600-649</v>
      </c>
    </row>
    <row r="386" spans="1:5" x14ac:dyDescent="0.3">
      <c r="A386" s="3" t="s">
        <v>731</v>
      </c>
      <c r="B386" s="3">
        <v>0</v>
      </c>
      <c r="C386" s="3">
        <v>641</v>
      </c>
      <c r="D386" s="3">
        <v>16.3</v>
      </c>
      <c r="E386" s="3" t="str">
        <f>LOOKUP(C386,$G$2:$G$7,$H$2:$H$7)</f>
        <v>600-649</v>
      </c>
    </row>
    <row r="387" spans="1:5" x14ac:dyDescent="0.3">
      <c r="A387" s="3" t="s">
        <v>731</v>
      </c>
      <c r="B387" s="3">
        <v>0</v>
      </c>
      <c r="C387" s="3">
        <v>641</v>
      </c>
      <c r="D387" s="3">
        <v>36.299999999999997</v>
      </c>
      <c r="E387" s="3" t="str">
        <f>LOOKUP(C387,$G$2:$G$7,$H$2:$H$7)</f>
        <v>600-649</v>
      </c>
    </row>
    <row r="388" spans="1:5" x14ac:dyDescent="0.3">
      <c r="A388" s="3" t="s">
        <v>734</v>
      </c>
      <c r="B388" s="3">
        <v>1</v>
      </c>
      <c r="C388" s="3">
        <v>640</v>
      </c>
      <c r="D388" s="3">
        <v>28.6</v>
      </c>
      <c r="E388" s="3" t="str">
        <f>LOOKUP(C388,$G$2:$G$7,$H$2:$H$7)</f>
        <v>600-649</v>
      </c>
    </row>
    <row r="389" spans="1:5" x14ac:dyDescent="0.3">
      <c r="A389" s="3" t="s">
        <v>736</v>
      </c>
      <c r="B389" s="3">
        <v>1</v>
      </c>
      <c r="C389" s="3">
        <v>619</v>
      </c>
      <c r="D389" s="3">
        <v>44.9</v>
      </c>
      <c r="E389" s="3" t="str">
        <f>LOOKUP(C389,$G$2:$G$7,$H$2:$H$7)</f>
        <v>600-649</v>
      </c>
    </row>
    <row r="390" spans="1:5" x14ac:dyDescent="0.3">
      <c r="A390" s="3" t="s">
        <v>736</v>
      </c>
      <c r="B390" s="3">
        <v>1</v>
      </c>
      <c r="C390" s="3">
        <v>619</v>
      </c>
      <c r="D390" s="3">
        <v>49</v>
      </c>
      <c r="E390" s="3" t="str">
        <f>LOOKUP(C390,$G$2:$G$7,$H$2:$H$7)</f>
        <v>600-649</v>
      </c>
    </row>
    <row r="391" spans="1:5" x14ac:dyDescent="0.3">
      <c r="A391" s="3" t="s">
        <v>739</v>
      </c>
      <c r="B391" s="3">
        <v>0</v>
      </c>
      <c r="C391" s="3">
        <v>592</v>
      </c>
      <c r="D391" s="3">
        <v>16.7</v>
      </c>
      <c r="E391" s="3" t="str">
        <f>LOOKUP(C391,$G$2:$G$7,$H$2:$H$7)</f>
        <v>520-599</v>
      </c>
    </row>
    <row r="392" spans="1:5" x14ac:dyDescent="0.3">
      <c r="A392" s="3" t="s">
        <v>741</v>
      </c>
      <c r="B392" s="3">
        <v>0</v>
      </c>
      <c r="C392" s="3">
        <v>828</v>
      </c>
      <c r="D392" s="3">
        <v>59</v>
      </c>
      <c r="E392" s="3" t="str">
        <f>LOOKUP(C392,$G$2:$G$7,$H$2:$H$7)</f>
        <v>750+</v>
      </c>
    </row>
    <row r="393" spans="1:5" x14ac:dyDescent="0.3">
      <c r="A393" s="3" t="s">
        <v>743</v>
      </c>
      <c r="B393" s="3">
        <v>1</v>
      </c>
      <c r="C393" s="3">
        <v>704</v>
      </c>
      <c r="D393" s="3">
        <v>100.4</v>
      </c>
      <c r="E393" s="3" t="str">
        <f>LOOKUP(C393,$G$2:$G$7,$H$2:$H$7)</f>
        <v>700-749</v>
      </c>
    </row>
    <row r="394" spans="1:5" x14ac:dyDescent="0.3">
      <c r="A394" s="3" t="s">
        <v>745</v>
      </c>
      <c r="B394" s="3">
        <v>0</v>
      </c>
      <c r="C394" s="3">
        <v>748</v>
      </c>
      <c r="D394" s="3">
        <v>30.1</v>
      </c>
      <c r="E394" s="3" t="str">
        <f>LOOKUP(C394,$G$2:$G$7,$H$2:$H$7)</f>
        <v>700-749</v>
      </c>
    </row>
    <row r="395" spans="1:5" x14ac:dyDescent="0.3">
      <c r="A395" s="3" t="s">
        <v>747</v>
      </c>
      <c r="B395" s="3">
        <v>1</v>
      </c>
      <c r="C395" s="3">
        <v>671</v>
      </c>
      <c r="D395" s="3">
        <v>47.2</v>
      </c>
      <c r="E395" s="3" t="str">
        <f>LOOKUP(C395,$G$2:$G$7,$H$2:$H$7)</f>
        <v>650-699</v>
      </c>
    </row>
    <row r="396" spans="1:5" x14ac:dyDescent="0.3">
      <c r="A396" s="3" t="s">
        <v>749</v>
      </c>
      <c r="B396" s="3">
        <v>0</v>
      </c>
      <c r="C396" s="3">
        <v>799</v>
      </c>
      <c r="D396" s="3">
        <v>24</v>
      </c>
      <c r="E396" s="3" t="str">
        <f>LOOKUP(C396,$G$2:$G$7,$H$2:$H$7)</f>
        <v>750+</v>
      </c>
    </row>
    <row r="397" spans="1:5" x14ac:dyDescent="0.3">
      <c r="A397" s="3" t="s">
        <v>749</v>
      </c>
      <c r="B397" s="3">
        <v>0</v>
      </c>
      <c r="C397" s="3">
        <v>799</v>
      </c>
      <c r="D397" s="3">
        <v>44</v>
      </c>
      <c r="E397" s="3" t="str">
        <f>LOOKUP(C397,$G$2:$G$7,$H$2:$H$7)</f>
        <v>750+</v>
      </c>
    </row>
    <row r="398" spans="1:5" x14ac:dyDescent="0.3">
      <c r="A398" s="3" t="s">
        <v>752</v>
      </c>
      <c r="B398" s="3">
        <v>0</v>
      </c>
      <c r="C398" s="3">
        <v>793</v>
      </c>
      <c r="D398" s="3">
        <v>36.4</v>
      </c>
      <c r="E398" s="3" t="str">
        <f>LOOKUP(C398,$G$2:$G$7,$H$2:$H$7)</f>
        <v>750+</v>
      </c>
    </row>
    <row r="399" spans="1:5" x14ac:dyDescent="0.3">
      <c r="A399" s="3" t="s">
        <v>754</v>
      </c>
      <c r="B399" s="3">
        <v>1</v>
      </c>
      <c r="C399" s="3">
        <v>678</v>
      </c>
      <c r="D399" s="3">
        <v>48.1</v>
      </c>
      <c r="E399" s="3" t="str">
        <f>LOOKUP(C399,$G$2:$G$7,$H$2:$H$7)</f>
        <v>650-699</v>
      </c>
    </row>
    <row r="400" spans="1:5" x14ac:dyDescent="0.3">
      <c r="A400" s="3" t="s">
        <v>756</v>
      </c>
      <c r="B400" s="3">
        <v>1</v>
      </c>
      <c r="C400" s="3">
        <v>686</v>
      </c>
      <c r="D400" s="3">
        <v>60.2</v>
      </c>
      <c r="E400" s="3" t="str">
        <f>LOOKUP(C400,$G$2:$G$7,$H$2:$H$7)</f>
        <v>650-699</v>
      </c>
    </row>
    <row r="401" spans="1:5" x14ac:dyDescent="0.3">
      <c r="A401" s="3" t="s">
        <v>758</v>
      </c>
      <c r="B401" s="3">
        <v>0</v>
      </c>
      <c r="C401" s="3">
        <v>630</v>
      </c>
      <c r="D401" s="3">
        <v>32</v>
      </c>
      <c r="E401" s="3" t="str">
        <f>LOOKUP(C401,$G$2:$G$7,$H$2:$H$7)</f>
        <v>600-649</v>
      </c>
    </row>
    <row r="402" spans="1:5" x14ac:dyDescent="0.3">
      <c r="A402" s="3" t="s">
        <v>760</v>
      </c>
      <c r="B402" s="3">
        <v>0</v>
      </c>
      <c r="C402" s="3">
        <v>818</v>
      </c>
      <c r="D402" s="3">
        <v>52.3</v>
      </c>
      <c r="E402" s="3" t="str">
        <f>LOOKUP(C402,$G$2:$G$7,$H$2:$H$7)</f>
        <v>750+</v>
      </c>
    </row>
    <row r="403" spans="1:5" x14ac:dyDescent="0.3">
      <c r="A403" s="3" t="s">
        <v>762</v>
      </c>
      <c r="B403" s="3">
        <v>1</v>
      </c>
      <c r="C403" s="3">
        <v>558</v>
      </c>
      <c r="D403" s="3">
        <v>55.1</v>
      </c>
      <c r="E403" s="3" t="str">
        <f>LOOKUP(C403,$G$2:$G$7,$H$2:$H$7)</f>
        <v>520-599</v>
      </c>
    </row>
    <row r="404" spans="1:5" x14ac:dyDescent="0.3">
      <c r="A404" s="3" t="s">
        <v>764</v>
      </c>
      <c r="B404" s="3">
        <v>0</v>
      </c>
      <c r="C404" s="3">
        <v>700</v>
      </c>
      <c r="D404" s="3">
        <v>29.1</v>
      </c>
      <c r="E404" s="3" t="str">
        <f>LOOKUP(C404,$G$2:$G$7,$H$2:$H$7)</f>
        <v>700-749</v>
      </c>
    </row>
    <row r="405" spans="1:5" x14ac:dyDescent="0.3">
      <c r="A405" s="3" t="s">
        <v>766</v>
      </c>
      <c r="B405" s="3">
        <v>1</v>
      </c>
      <c r="C405" s="3">
        <v>741</v>
      </c>
      <c r="D405" s="3">
        <v>13.2</v>
      </c>
      <c r="E405" s="3" t="str">
        <f>LOOKUP(C405,$G$2:$G$7,$H$2:$H$7)</f>
        <v>700-749</v>
      </c>
    </row>
    <row r="406" spans="1:5" x14ac:dyDescent="0.3">
      <c r="A406" s="3" t="s">
        <v>768</v>
      </c>
      <c r="B406" s="3">
        <v>0</v>
      </c>
      <c r="C406" s="3">
        <v>794</v>
      </c>
      <c r="D406" s="3">
        <v>77.599999999999994</v>
      </c>
      <c r="E406" s="3" t="str">
        <f>LOOKUP(C406,$G$2:$G$7,$H$2:$H$7)</f>
        <v>750+</v>
      </c>
    </row>
    <row r="407" spans="1:5" x14ac:dyDescent="0.3">
      <c r="A407" s="3" t="s">
        <v>770</v>
      </c>
      <c r="B407" s="3">
        <v>0</v>
      </c>
      <c r="C407" s="3">
        <v>634</v>
      </c>
      <c r="D407" s="3">
        <v>23.3</v>
      </c>
      <c r="E407" s="3" t="str">
        <f>LOOKUP(C407,$G$2:$G$7,$H$2:$H$7)</f>
        <v>600-649</v>
      </c>
    </row>
    <row r="408" spans="1:5" x14ac:dyDescent="0.3">
      <c r="A408" s="3" t="s">
        <v>770</v>
      </c>
      <c r="B408" s="3">
        <v>0</v>
      </c>
      <c r="C408" s="3">
        <v>634</v>
      </c>
      <c r="D408" s="3">
        <v>24.2</v>
      </c>
      <c r="E408" s="3" t="str">
        <f>LOOKUP(C408,$G$2:$G$7,$H$2:$H$7)</f>
        <v>600-649</v>
      </c>
    </row>
    <row r="409" spans="1:5" x14ac:dyDescent="0.3">
      <c r="A409" s="3" t="s">
        <v>773</v>
      </c>
      <c r="B409" s="3">
        <v>0</v>
      </c>
      <c r="C409" s="3">
        <v>820</v>
      </c>
      <c r="D409" s="3">
        <v>98.4</v>
      </c>
      <c r="E409" s="3" t="str">
        <f>LOOKUP(C409,$G$2:$G$7,$H$2:$H$7)</f>
        <v>750+</v>
      </c>
    </row>
    <row r="410" spans="1:5" x14ac:dyDescent="0.3">
      <c r="A410" s="3" t="s">
        <v>773</v>
      </c>
      <c r="B410" s="3">
        <v>1</v>
      </c>
      <c r="C410" s="3">
        <v>820</v>
      </c>
      <c r="D410" s="3">
        <v>67.400000000000006</v>
      </c>
      <c r="E410" s="3" t="str">
        <f>LOOKUP(C410,$G$2:$G$7,$H$2:$H$7)</f>
        <v>750+</v>
      </c>
    </row>
    <row r="411" spans="1:5" x14ac:dyDescent="0.3">
      <c r="A411" s="3" t="s">
        <v>776</v>
      </c>
      <c r="B411" s="3">
        <v>0</v>
      </c>
      <c r="C411" s="3">
        <v>704</v>
      </c>
      <c r="D411" s="3">
        <v>75.900000000000006</v>
      </c>
      <c r="E411" s="3" t="str">
        <f>LOOKUP(C411,$G$2:$G$7,$H$2:$H$7)</f>
        <v>700-749</v>
      </c>
    </row>
    <row r="412" spans="1:5" x14ac:dyDescent="0.3">
      <c r="A412" s="3" t="s">
        <v>778</v>
      </c>
      <c r="B412" s="3">
        <v>0</v>
      </c>
      <c r="C412" s="3">
        <v>716</v>
      </c>
      <c r="D412" s="3">
        <v>21.4</v>
      </c>
      <c r="E412" s="3" t="str">
        <f>LOOKUP(C412,$G$2:$G$7,$H$2:$H$7)</f>
        <v>700-749</v>
      </c>
    </row>
    <row r="413" spans="1:5" x14ac:dyDescent="0.3">
      <c r="A413" s="3" t="s">
        <v>780</v>
      </c>
      <c r="B413" s="3">
        <v>0</v>
      </c>
      <c r="C413" s="3">
        <v>754</v>
      </c>
      <c r="D413" s="3">
        <v>65.400000000000006</v>
      </c>
      <c r="E413" s="3" t="str">
        <f>LOOKUP(C413,$G$2:$G$7,$H$2:$H$7)</f>
        <v>750+</v>
      </c>
    </row>
    <row r="414" spans="1:5" x14ac:dyDescent="0.3">
      <c r="A414" s="3" t="s">
        <v>782</v>
      </c>
      <c r="B414" s="3">
        <v>0</v>
      </c>
      <c r="C414" s="3">
        <v>830</v>
      </c>
      <c r="D414" s="3">
        <v>33.700000000000003</v>
      </c>
      <c r="E414" s="3" t="str">
        <f>LOOKUP(C414,$G$2:$G$7,$H$2:$H$7)</f>
        <v>750+</v>
      </c>
    </row>
    <row r="415" spans="1:5" x14ac:dyDescent="0.3">
      <c r="A415" s="3" t="s">
        <v>784</v>
      </c>
      <c r="B415" s="3">
        <v>0</v>
      </c>
      <c r="C415" s="3">
        <v>572</v>
      </c>
      <c r="D415" s="3">
        <v>37.6</v>
      </c>
      <c r="E415" s="3" t="str">
        <f>LOOKUP(C415,$G$2:$G$7,$H$2:$H$7)</f>
        <v>520-599</v>
      </c>
    </row>
    <row r="416" spans="1:5" x14ac:dyDescent="0.3">
      <c r="A416" s="3" t="s">
        <v>786</v>
      </c>
      <c r="B416" s="3">
        <v>1</v>
      </c>
      <c r="C416" s="3">
        <v>545</v>
      </c>
      <c r="D416" s="3">
        <v>73.900000000000006</v>
      </c>
      <c r="E416" s="3" t="str">
        <f>LOOKUP(C416,$G$2:$G$7,$H$2:$H$7)</f>
        <v>520-599</v>
      </c>
    </row>
    <row r="417" spans="1:5" x14ac:dyDescent="0.3">
      <c r="A417" s="3" t="s">
        <v>788</v>
      </c>
      <c r="B417" s="3">
        <v>0</v>
      </c>
      <c r="C417" s="3">
        <v>808</v>
      </c>
      <c r="D417" s="3">
        <v>47.8</v>
      </c>
      <c r="E417" s="3" t="str">
        <f>LOOKUP(C417,$G$2:$G$7,$H$2:$H$7)</f>
        <v>750+</v>
      </c>
    </row>
    <row r="418" spans="1:5" x14ac:dyDescent="0.3">
      <c r="A418" s="3" t="s">
        <v>788</v>
      </c>
      <c r="B418" s="3">
        <v>1</v>
      </c>
      <c r="C418" s="3">
        <v>808</v>
      </c>
      <c r="D418" s="3">
        <v>54.2</v>
      </c>
      <c r="E418" s="3" t="str">
        <f>LOOKUP(C418,$G$2:$G$7,$H$2:$H$7)</f>
        <v>750+</v>
      </c>
    </row>
    <row r="419" spans="1:5" x14ac:dyDescent="0.3">
      <c r="A419" s="3" t="s">
        <v>791</v>
      </c>
      <c r="B419" s="3">
        <v>0</v>
      </c>
      <c r="C419" s="3">
        <v>781</v>
      </c>
      <c r="D419" s="3">
        <v>26.4</v>
      </c>
      <c r="E419" s="3" t="str">
        <f>LOOKUP(C419,$G$2:$G$7,$H$2:$H$7)</f>
        <v>750+</v>
      </c>
    </row>
    <row r="420" spans="1:5" x14ac:dyDescent="0.3">
      <c r="A420" s="3" t="s">
        <v>793</v>
      </c>
      <c r="B420" s="3">
        <v>1</v>
      </c>
      <c r="C420" s="3">
        <v>635</v>
      </c>
      <c r="D420" s="3">
        <v>26.4</v>
      </c>
      <c r="E420" s="3" t="str">
        <f>LOOKUP(C420,$G$2:$G$7,$H$2:$H$7)</f>
        <v>600-649</v>
      </c>
    </row>
    <row r="421" spans="1:5" x14ac:dyDescent="0.3">
      <c r="A421" s="3" t="s">
        <v>795</v>
      </c>
      <c r="B421" s="3">
        <v>0</v>
      </c>
      <c r="C421" s="3">
        <v>850</v>
      </c>
      <c r="D421" s="3">
        <v>45.1</v>
      </c>
      <c r="E421" s="3" t="str">
        <f>LOOKUP(C421,$G$2:$G$7,$H$2:$H$7)</f>
        <v>750+</v>
      </c>
    </row>
    <row r="422" spans="1:5" x14ac:dyDescent="0.3">
      <c r="A422" s="3" t="s">
        <v>797</v>
      </c>
      <c r="B422" s="3">
        <v>0</v>
      </c>
      <c r="C422" s="3">
        <v>662</v>
      </c>
      <c r="D422" s="3">
        <v>47.5</v>
      </c>
      <c r="E422" s="3" t="str">
        <f>LOOKUP(C422,$G$2:$G$7,$H$2:$H$7)</f>
        <v>650-699</v>
      </c>
    </row>
    <row r="423" spans="1:5" x14ac:dyDescent="0.3">
      <c r="A423" s="3" t="s">
        <v>799</v>
      </c>
      <c r="B423" s="3">
        <v>0</v>
      </c>
      <c r="C423" s="3">
        <v>836</v>
      </c>
      <c r="D423" s="3">
        <v>44.6</v>
      </c>
      <c r="E423" s="3" t="str">
        <f>LOOKUP(C423,$G$2:$G$7,$H$2:$H$7)</f>
        <v>750+</v>
      </c>
    </row>
    <row r="424" spans="1:5" x14ac:dyDescent="0.3">
      <c r="A424" s="3" t="s">
        <v>799</v>
      </c>
      <c r="B424" s="3">
        <v>0</v>
      </c>
      <c r="C424" s="3">
        <v>836</v>
      </c>
      <c r="D424" s="3">
        <v>50.7</v>
      </c>
      <c r="E424" s="3" t="str">
        <f>LOOKUP(C424,$G$2:$G$7,$H$2:$H$7)</f>
        <v>750+</v>
      </c>
    </row>
    <row r="425" spans="1:5" x14ac:dyDescent="0.3">
      <c r="A425" s="3" t="s">
        <v>802</v>
      </c>
      <c r="B425" s="3">
        <v>0</v>
      </c>
      <c r="C425" s="3">
        <v>650</v>
      </c>
      <c r="D425" s="3">
        <v>52.9</v>
      </c>
      <c r="E425" s="3" t="str">
        <f>LOOKUP(C425,$G$2:$G$7,$H$2:$H$7)</f>
        <v>650-699</v>
      </c>
    </row>
    <row r="426" spans="1:5" x14ac:dyDescent="0.3">
      <c r="A426" s="3" t="s">
        <v>804</v>
      </c>
      <c r="B426" s="3">
        <v>0</v>
      </c>
      <c r="C426" s="3">
        <v>850</v>
      </c>
      <c r="D426" s="3">
        <v>107.2</v>
      </c>
      <c r="E426" s="3" t="str">
        <f>LOOKUP(C426,$G$2:$G$7,$H$2:$H$7)</f>
        <v>750+</v>
      </c>
    </row>
    <row r="427" spans="1:5" x14ac:dyDescent="0.3">
      <c r="A427" s="3" t="s">
        <v>806</v>
      </c>
      <c r="B427" s="3">
        <v>0</v>
      </c>
      <c r="C427" s="3">
        <v>751</v>
      </c>
      <c r="D427" s="3">
        <v>54.6</v>
      </c>
      <c r="E427" s="3" t="str">
        <f>LOOKUP(C427,$G$2:$G$7,$H$2:$H$7)</f>
        <v>750+</v>
      </c>
    </row>
    <row r="428" spans="1:5" x14ac:dyDescent="0.3">
      <c r="A428" s="3" t="s">
        <v>808</v>
      </c>
      <c r="B428" s="3">
        <v>1</v>
      </c>
      <c r="C428" s="3">
        <v>584</v>
      </c>
      <c r="D428" s="3">
        <v>69.400000000000006</v>
      </c>
      <c r="E428" s="3" t="str">
        <f>LOOKUP(C428,$G$2:$G$7,$H$2:$H$7)</f>
        <v>520-599</v>
      </c>
    </row>
    <row r="429" spans="1:5" x14ac:dyDescent="0.3">
      <c r="A429" s="3" t="s">
        <v>810</v>
      </c>
      <c r="B429" s="3">
        <v>0</v>
      </c>
      <c r="C429" s="3">
        <v>850</v>
      </c>
      <c r="D429" s="3">
        <v>21.5</v>
      </c>
      <c r="E429" s="3" t="str">
        <f>LOOKUP(C429,$G$2:$G$7,$H$2:$H$7)</f>
        <v>750+</v>
      </c>
    </row>
    <row r="430" spans="1:5" x14ac:dyDescent="0.3">
      <c r="A430" s="3" t="s">
        <v>812</v>
      </c>
      <c r="B430" s="3">
        <v>0</v>
      </c>
      <c r="C430" s="3">
        <v>579</v>
      </c>
      <c r="D430" s="3">
        <v>46.6</v>
      </c>
      <c r="E430" s="3" t="str">
        <f>LOOKUP(C430,$G$2:$G$7,$H$2:$H$7)</f>
        <v>520-599</v>
      </c>
    </row>
    <row r="431" spans="1:5" x14ac:dyDescent="0.3">
      <c r="A431" s="3" t="s">
        <v>814</v>
      </c>
      <c r="B431" s="3">
        <v>0</v>
      </c>
      <c r="C431" s="3">
        <v>772</v>
      </c>
      <c r="D431" s="3">
        <v>58.6</v>
      </c>
      <c r="E431" s="3" t="str">
        <f>LOOKUP(C431,$G$2:$G$7,$H$2:$H$7)</f>
        <v>750+</v>
      </c>
    </row>
    <row r="432" spans="1:5" x14ac:dyDescent="0.3">
      <c r="A432" s="3" t="s">
        <v>816</v>
      </c>
      <c r="B432" s="3">
        <v>0</v>
      </c>
      <c r="C432" s="3">
        <v>661</v>
      </c>
      <c r="D432" s="3">
        <v>31.8</v>
      </c>
      <c r="E432" s="3" t="str">
        <f>LOOKUP(C432,$G$2:$G$7,$H$2:$H$7)</f>
        <v>650-699</v>
      </c>
    </row>
    <row r="433" spans="1:5" x14ac:dyDescent="0.3">
      <c r="A433" s="3" t="s">
        <v>818</v>
      </c>
      <c r="B433" s="3">
        <v>0</v>
      </c>
      <c r="C433" s="3">
        <v>786</v>
      </c>
      <c r="D433" s="3">
        <v>23.8</v>
      </c>
      <c r="E433" s="3" t="str">
        <f>LOOKUP(C433,$G$2:$G$7,$H$2:$H$7)</f>
        <v>750+</v>
      </c>
    </row>
    <row r="434" spans="1:5" x14ac:dyDescent="0.3">
      <c r="A434" s="3" t="s">
        <v>820</v>
      </c>
      <c r="B434" s="3">
        <v>0</v>
      </c>
      <c r="C434" s="3">
        <v>850</v>
      </c>
      <c r="D434" s="3">
        <v>51.9</v>
      </c>
      <c r="E434" s="3" t="str">
        <f>LOOKUP(C434,$G$2:$G$7,$H$2:$H$7)</f>
        <v>750+</v>
      </c>
    </row>
    <row r="435" spans="1:5" x14ac:dyDescent="0.3">
      <c r="A435" s="3" t="s">
        <v>820</v>
      </c>
      <c r="B435" s="3">
        <v>0</v>
      </c>
      <c r="C435" s="3">
        <v>850</v>
      </c>
      <c r="D435" s="3">
        <v>60.2</v>
      </c>
      <c r="E435" s="3" t="str">
        <f>LOOKUP(C435,$G$2:$G$7,$H$2:$H$7)</f>
        <v>750+</v>
      </c>
    </row>
    <row r="436" spans="1:5" x14ac:dyDescent="0.3">
      <c r="A436" s="3" t="s">
        <v>823</v>
      </c>
      <c r="B436" s="3">
        <v>0</v>
      </c>
      <c r="C436" s="3">
        <v>813</v>
      </c>
      <c r="D436" s="3">
        <v>23.6</v>
      </c>
      <c r="E436" s="3" t="str">
        <f>LOOKUP(C436,$G$2:$G$7,$H$2:$H$7)</f>
        <v>750+</v>
      </c>
    </row>
    <row r="437" spans="1:5" x14ac:dyDescent="0.3">
      <c r="A437" s="3" t="s">
        <v>825</v>
      </c>
      <c r="B437" s="3">
        <v>0</v>
      </c>
      <c r="C437" s="3">
        <v>637</v>
      </c>
      <c r="D437" s="3">
        <v>24.5</v>
      </c>
      <c r="E437" s="3" t="str">
        <f>LOOKUP(C437,$G$2:$G$7,$H$2:$H$7)</f>
        <v>600-649</v>
      </c>
    </row>
    <row r="438" spans="1:5" x14ac:dyDescent="0.3">
      <c r="A438" s="3" t="s">
        <v>827</v>
      </c>
      <c r="B438" s="3">
        <v>0</v>
      </c>
      <c r="C438" s="3">
        <v>850</v>
      </c>
      <c r="D438" s="3">
        <v>52.7</v>
      </c>
      <c r="E438" s="3" t="str">
        <f>LOOKUP(C438,$G$2:$G$7,$H$2:$H$7)</f>
        <v>750+</v>
      </c>
    </row>
    <row r="439" spans="1:5" x14ac:dyDescent="0.3">
      <c r="A439" s="3" t="s">
        <v>829</v>
      </c>
      <c r="B439" s="3">
        <v>0</v>
      </c>
      <c r="C439" s="3">
        <v>709</v>
      </c>
      <c r="D439" s="3">
        <v>77.8</v>
      </c>
      <c r="E439" s="3" t="str">
        <f>LOOKUP(C439,$G$2:$G$7,$H$2:$H$7)</f>
        <v>700-749</v>
      </c>
    </row>
    <row r="440" spans="1:5" x14ac:dyDescent="0.3">
      <c r="A440" s="3" t="s">
        <v>831</v>
      </c>
      <c r="B440" s="3">
        <v>0</v>
      </c>
      <c r="C440" s="3">
        <v>817</v>
      </c>
      <c r="D440" s="3">
        <v>29.8</v>
      </c>
      <c r="E440" s="3" t="str">
        <f>LOOKUP(C440,$G$2:$G$7,$H$2:$H$7)</f>
        <v>750+</v>
      </c>
    </row>
    <row r="441" spans="1:5" x14ac:dyDescent="0.3">
      <c r="A441" s="3" t="s">
        <v>833</v>
      </c>
      <c r="B441" s="3">
        <v>0</v>
      </c>
      <c r="C441" s="3">
        <v>544</v>
      </c>
      <c r="D441" s="3">
        <v>61.7</v>
      </c>
      <c r="E441" s="3" t="str">
        <f>LOOKUP(C441,$G$2:$G$7,$H$2:$H$7)</f>
        <v>520-599</v>
      </c>
    </row>
    <row r="442" spans="1:5" x14ac:dyDescent="0.3">
      <c r="A442" s="3" t="s">
        <v>835</v>
      </c>
      <c r="B442" s="3">
        <v>0</v>
      </c>
      <c r="C442" s="3">
        <v>850</v>
      </c>
      <c r="D442" s="3">
        <v>66.8</v>
      </c>
      <c r="E442" s="3" t="str">
        <f>LOOKUP(C442,$G$2:$G$7,$H$2:$H$7)</f>
        <v>750+</v>
      </c>
    </row>
    <row r="443" spans="1:5" x14ac:dyDescent="0.3">
      <c r="A443" s="3" t="s">
        <v>835</v>
      </c>
      <c r="B443" s="3">
        <v>0</v>
      </c>
      <c r="C443" s="3">
        <v>850</v>
      </c>
      <c r="D443" s="3">
        <v>44</v>
      </c>
      <c r="E443" s="3" t="str">
        <f>LOOKUP(C443,$G$2:$G$7,$H$2:$H$7)</f>
        <v>750+</v>
      </c>
    </row>
    <row r="444" spans="1:5" x14ac:dyDescent="0.3">
      <c r="A444" s="3" t="s">
        <v>838</v>
      </c>
      <c r="B444" s="3">
        <v>0</v>
      </c>
      <c r="C444" s="3">
        <v>743</v>
      </c>
      <c r="D444" s="3">
        <v>54.8</v>
      </c>
      <c r="E444" s="3" t="str">
        <f>LOOKUP(C444,$G$2:$G$7,$H$2:$H$7)</f>
        <v>700-749</v>
      </c>
    </row>
    <row r="445" spans="1:5" x14ac:dyDescent="0.3">
      <c r="A445" s="3" t="s">
        <v>840</v>
      </c>
      <c r="B445" s="3">
        <v>1</v>
      </c>
      <c r="C445" s="3">
        <v>580</v>
      </c>
      <c r="D445" s="3">
        <v>68</v>
      </c>
      <c r="E445" s="3" t="str">
        <f>LOOKUP(C445,$G$2:$G$7,$H$2:$H$7)</f>
        <v>520-599</v>
      </c>
    </row>
    <row r="446" spans="1:5" x14ac:dyDescent="0.3">
      <c r="A446" s="3" t="s">
        <v>842</v>
      </c>
      <c r="B446" s="3">
        <v>1</v>
      </c>
      <c r="C446" s="3">
        <v>626</v>
      </c>
      <c r="D446" s="3">
        <v>72.2</v>
      </c>
      <c r="E446" s="3" t="str">
        <f>LOOKUP(C446,$G$2:$G$7,$H$2:$H$7)</f>
        <v>600-649</v>
      </c>
    </row>
    <row r="447" spans="1:5" x14ac:dyDescent="0.3">
      <c r="A447" s="3" t="s">
        <v>844</v>
      </c>
      <c r="B447" s="3">
        <v>0</v>
      </c>
      <c r="C447" s="3">
        <v>543</v>
      </c>
      <c r="D447" s="3">
        <v>36.4</v>
      </c>
      <c r="E447" s="3" t="str">
        <f>LOOKUP(C447,$G$2:$G$7,$H$2:$H$7)</f>
        <v>520-599</v>
      </c>
    </row>
    <row r="448" spans="1:5" x14ac:dyDescent="0.3">
      <c r="A448" s="3" t="s">
        <v>846</v>
      </c>
      <c r="B448" s="3">
        <v>0</v>
      </c>
      <c r="C448" s="3">
        <v>705</v>
      </c>
      <c r="D448" s="3">
        <v>60.1</v>
      </c>
      <c r="E448" s="3" t="str">
        <f>LOOKUP(C448,$G$2:$G$7,$H$2:$H$7)</f>
        <v>700-749</v>
      </c>
    </row>
    <row r="449" spans="1:5" x14ac:dyDescent="0.3">
      <c r="A449" s="3" t="s">
        <v>848</v>
      </c>
      <c r="B449" s="3">
        <v>0</v>
      </c>
      <c r="C449" s="3">
        <v>815</v>
      </c>
      <c r="D449" s="3">
        <v>39.799999999999997</v>
      </c>
      <c r="E449" s="3" t="str">
        <f>LOOKUP(C449,$G$2:$G$7,$H$2:$H$7)</f>
        <v>750+</v>
      </c>
    </row>
    <row r="450" spans="1:5" x14ac:dyDescent="0.3">
      <c r="A450" s="3" t="s">
        <v>848</v>
      </c>
      <c r="B450" s="3">
        <v>0</v>
      </c>
      <c r="C450" s="3">
        <v>815</v>
      </c>
      <c r="D450" s="3">
        <v>37.9</v>
      </c>
      <c r="E450" s="3" t="str">
        <f>LOOKUP(C450,$G$2:$G$7,$H$2:$H$7)</f>
        <v>750+</v>
      </c>
    </row>
    <row r="451" spans="1:5" x14ac:dyDescent="0.3">
      <c r="A451" s="3" t="s">
        <v>851</v>
      </c>
      <c r="B451" s="3">
        <v>0</v>
      </c>
      <c r="C451" s="3">
        <v>716</v>
      </c>
      <c r="D451" s="3">
        <v>43.4</v>
      </c>
      <c r="E451" s="3" t="str">
        <f>LOOKUP(C451,$G$2:$G$7,$H$2:$H$7)</f>
        <v>700-749</v>
      </c>
    </row>
    <row r="452" spans="1:5" x14ac:dyDescent="0.3">
      <c r="A452" s="3" t="s">
        <v>851</v>
      </c>
      <c r="B452" s="3">
        <v>0</v>
      </c>
      <c r="C452" s="3">
        <v>716</v>
      </c>
      <c r="D452" s="3">
        <v>50.1</v>
      </c>
      <c r="E452" s="3" t="str">
        <f>LOOKUP(C452,$G$2:$G$7,$H$2:$H$7)</f>
        <v>700-749</v>
      </c>
    </row>
    <row r="453" spans="1:5" x14ac:dyDescent="0.3">
      <c r="A453" s="3" t="s">
        <v>854</v>
      </c>
      <c r="B453" s="3">
        <v>0</v>
      </c>
      <c r="C453" s="3">
        <v>585</v>
      </c>
      <c r="D453" s="3">
        <v>55.4</v>
      </c>
      <c r="E453" s="3" t="str">
        <f>LOOKUP(C453,$G$2:$G$7,$H$2:$H$7)</f>
        <v>520-599</v>
      </c>
    </row>
    <row r="454" spans="1:5" x14ac:dyDescent="0.3">
      <c r="A454" s="3" t="s">
        <v>854</v>
      </c>
      <c r="B454" s="3">
        <v>1</v>
      </c>
      <c r="C454" s="3">
        <v>585</v>
      </c>
      <c r="D454" s="3">
        <v>80.2</v>
      </c>
      <c r="E454" s="3" t="str">
        <f>LOOKUP(C454,$G$2:$G$7,$H$2:$H$7)</f>
        <v>520-599</v>
      </c>
    </row>
    <row r="455" spans="1:5" x14ac:dyDescent="0.3">
      <c r="A455" s="3" t="s">
        <v>857</v>
      </c>
      <c r="B455" s="3">
        <v>0</v>
      </c>
      <c r="C455" s="3">
        <v>725</v>
      </c>
      <c r="D455" s="3">
        <v>105.8</v>
      </c>
      <c r="E455" s="3" t="str">
        <f>LOOKUP(C455,$G$2:$G$7,$H$2:$H$7)</f>
        <v>700-749</v>
      </c>
    </row>
    <row r="456" spans="1:5" x14ac:dyDescent="0.3">
      <c r="A456" s="3" t="s">
        <v>859</v>
      </c>
      <c r="B456" s="3">
        <v>0</v>
      </c>
      <c r="C456" s="3">
        <v>764</v>
      </c>
      <c r="D456" s="3">
        <v>38</v>
      </c>
      <c r="E456" s="3" t="str">
        <f>LOOKUP(C456,$G$2:$G$7,$H$2:$H$7)</f>
        <v>750+</v>
      </c>
    </row>
    <row r="457" spans="1:5" x14ac:dyDescent="0.3">
      <c r="A457" s="3" t="s">
        <v>861</v>
      </c>
      <c r="B457" s="3">
        <v>0</v>
      </c>
      <c r="C457" s="3">
        <v>542</v>
      </c>
      <c r="D457" s="3">
        <v>42.5</v>
      </c>
      <c r="E457" s="3" t="str">
        <f>LOOKUP(C457,$G$2:$G$7,$H$2:$H$7)</f>
        <v>520-599</v>
      </c>
    </row>
    <row r="458" spans="1:5" x14ac:dyDescent="0.3">
      <c r="A458" s="3" t="s">
        <v>863</v>
      </c>
      <c r="B458" s="3">
        <v>1</v>
      </c>
      <c r="C458" s="3">
        <v>844</v>
      </c>
      <c r="D458" s="3">
        <v>45.4</v>
      </c>
      <c r="E458" s="3" t="str">
        <f>LOOKUP(C458,$G$2:$G$7,$H$2:$H$7)</f>
        <v>750+</v>
      </c>
    </row>
    <row r="459" spans="1:5" x14ac:dyDescent="0.3">
      <c r="A459" s="3" t="s">
        <v>865</v>
      </c>
      <c r="B459" s="3">
        <v>1</v>
      </c>
      <c r="C459" s="3">
        <v>532</v>
      </c>
      <c r="D459" s="3">
        <v>56.6</v>
      </c>
      <c r="E459" s="3" t="str">
        <f>LOOKUP(C459,$G$2:$G$7,$H$2:$H$7)</f>
        <v>520-599</v>
      </c>
    </row>
    <row r="460" spans="1:5" x14ac:dyDescent="0.3">
      <c r="A460" s="3" t="s">
        <v>867</v>
      </c>
      <c r="B460" s="3">
        <v>0</v>
      </c>
      <c r="C460" s="3">
        <v>709</v>
      </c>
      <c r="D460" s="3">
        <v>17.600000000000001</v>
      </c>
      <c r="E460" s="3" t="str">
        <f>LOOKUP(C460,$G$2:$G$7,$H$2:$H$7)</f>
        <v>700-749</v>
      </c>
    </row>
    <row r="461" spans="1:5" x14ac:dyDescent="0.3">
      <c r="A461" s="3" t="s">
        <v>869</v>
      </c>
      <c r="B461" s="3">
        <v>0</v>
      </c>
      <c r="C461" s="3">
        <v>840</v>
      </c>
      <c r="D461" s="3">
        <v>20.3</v>
      </c>
      <c r="E461" s="3" t="str">
        <f>LOOKUP(C461,$G$2:$G$7,$H$2:$H$7)</f>
        <v>750+</v>
      </c>
    </row>
    <row r="462" spans="1:5" x14ac:dyDescent="0.3">
      <c r="A462" s="3" t="s">
        <v>871</v>
      </c>
      <c r="B462" s="3">
        <v>0</v>
      </c>
      <c r="C462" s="3">
        <v>751</v>
      </c>
      <c r="D462" s="3">
        <v>27.2</v>
      </c>
      <c r="E462" s="3" t="str">
        <f>LOOKUP(C462,$G$2:$G$7,$H$2:$H$7)</f>
        <v>750+</v>
      </c>
    </row>
    <row r="463" spans="1:5" x14ac:dyDescent="0.3">
      <c r="A463" s="3" t="s">
        <v>873</v>
      </c>
      <c r="B463" s="3">
        <v>1</v>
      </c>
      <c r="C463" s="3">
        <v>554</v>
      </c>
      <c r="D463" s="3">
        <v>70.099999999999994</v>
      </c>
      <c r="E463" s="3" t="str">
        <f>LOOKUP(C463,$G$2:$G$7,$H$2:$H$7)</f>
        <v>520-599</v>
      </c>
    </row>
    <row r="464" spans="1:5" x14ac:dyDescent="0.3">
      <c r="A464" s="3" t="s">
        <v>875</v>
      </c>
      <c r="B464" s="3">
        <v>0</v>
      </c>
      <c r="C464" s="3">
        <v>560</v>
      </c>
      <c r="D464" s="3">
        <v>12.6</v>
      </c>
      <c r="E464" s="3" t="str">
        <f>LOOKUP(C464,$G$2:$G$7,$H$2:$H$7)</f>
        <v>520-599</v>
      </c>
    </row>
    <row r="465" spans="1:5" x14ac:dyDescent="0.3">
      <c r="A465" s="3" t="s">
        <v>877</v>
      </c>
      <c r="B465" s="3">
        <v>0</v>
      </c>
      <c r="C465" s="3">
        <v>850</v>
      </c>
      <c r="D465" s="3">
        <v>35.700000000000003</v>
      </c>
      <c r="E465" s="3" t="str">
        <f>LOOKUP(C465,$G$2:$G$7,$H$2:$H$7)</f>
        <v>750+</v>
      </c>
    </row>
    <row r="466" spans="1:5" x14ac:dyDescent="0.3">
      <c r="A466" s="3" t="s">
        <v>879</v>
      </c>
      <c r="B466" s="3">
        <v>1</v>
      </c>
      <c r="C466" s="3">
        <v>593</v>
      </c>
      <c r="D466" s="3">
        <v>54.5</v>
      </c>
      <c r="E466" s="3" t="str">
        <f>LOOKUP(C466,$G$2:$G$7,$H$2:$H$7)</f>
        <v>520-599</v>
      </c>
    </row>
    <row r="467" spans="1:5" x14ac:dyDescent="0.3">
      <c r="A467" s="3" t="s">
        <v>879</v>
      </c>
      <c r="B467" s="3">
        <v>1</v>
      </c>
      <c r="C467" s="3">
        <v>593</v>
      </c>
      <c r="D467" s="3">
        <v>80.7</v>
      </c>
      <c r="E467" s="3" t="str">
        <f>LOOKUP(C467,$G$2:$G$7,$H$2:$H$7)</f>
        <v>520-599</v>
      </c>
    </row>
    <row r="468" spans="1:5" x14ac:dyDescent="0.3">
      <c r="A468" s="3" t="s">
        <v>882</v>
      </c>
      <c r="B468" s="3">
        <v>0</v>
      </c>
      <c r="C468" s="3">
        <v>792</v>
      </c>
      <c r="D468" s="3">
        <v>36.200000000000003</v>
      </c>
      <c r="E468" s="3" t="str">
        <f>LOOKUP(C468,$G$2:$G$7,$H$2:$H$7)</f>
        <v>750+</v>
      </c>
    </row>
    <row r="469" spans="1:5" x14ac:dyDescent="0.3">
      <c r="A469" s="3" t="s">
        <v>884</v>
      </c>
      <c r="B469" s="3">
        <v>0</v>
      </c>
      <c r="C469" s="3">
        <v>660</v>
      </c>
      <c r="D469" s="3">
        <v>72.5</v>
      </c>
      <c r="E469" s="3" t="str">
        <f>LOOKUP(C469,$G$2:$G$7,$H$2:$H$7)</f>
        <v>650-699</v>
      </c>
    </row>
    <row r="470" spans="1:5" x14ac:dyDescent="0.3">
      <c r="A470" s="3" t="s">
        <v>886</v>
      </c>
      <c r="B470" s="3">
        <v>1</v>
      </c>
      <c r="C470" s="3">
        <v>568</v>
      </c>
      <c r="D470" s="3">
        <v>57.8</v>
      </c>
      <c r="E470" s="3" t="str">
        <f>LOOKUP(C470,$G$2:$G$7,$H$2:$H$7)</f>
        <v>520-599</v>
      </c>
    </row>
    <row r="471" spans="1:5" x14ac:dyDescent="0.3">
      <c r="A471" s="3" t="s">
        <v>888</v>
      </c>
      <c r="B471" s="3">
        <v>0</v>
      </c>
      <c r="C471" s="3">
        <v>555</v>
      </c>
      <c r="D471" s="3">
        <v>63.5</v>
      </c>
      <c r="E471" s="3" t="str">
        <f>LOOKUP(C471,$G$2:$G$7,$H$2:$H$7)</f>
        <v>520-599</v>
      </c>
    </row>
    <row r="472" spans="1:5" x14ac:dyDescent="0.3">
      <c r="A472" s="3" t="s">
        <v>890</v>
      </c>
      <c r="B472" s="3">
        <v>1</v>
      </c>
      <c r="C472" s="3">
        <v>600</v>
      </c>
      <c r="D472" s="3">
        <v>40</v>
      </c>
      <c r="E472" s="3" t="str">
        <f>LOOKUP(C472,$G$2:$G$7,$H$2:$H$7)</f>
        <v>600-649</v>
      </c>
    </row>
    <row r="473" spans="1:5" x14ac:dyDescent="0.3">
      <c r="A473" s="3" t="s">
        <v>892</v>
      </c>
      <c r="B473" s="3">
        <v>0</v>
      </c>
      <c r="C473" s="3">
        <v>730</v>
      </c>
      <c r="D473" s="3">
        <v>75.599999999999994</v>
      </c>
      <c r="E473" s="3" t="str">
        <f>LOOKUP(C473,$G$2:$G$7,$H$2:$H$7)</f>
        <v>700-749</v>
      </c>
    </row>
    <row r="474" spans="1:5" x14ac:dyDescent="0.3">
      <c r="A474" s="3" t="s">
        <v>892</v>
      </c>
      <c r="B474" s="3">
        <v>0</v>
      </c>
      <c r="C474" s="3">
        <v>730</v>
      </c>
      <c r="D474" s="3">
        <v>47.5</v>
      </c>
      <c r="E474" s="3" t="str">
        <f>LOOKUP(C474,$G$2:$G$7,$H$2:$H$7)</f>
        <v>700-749</v>
      </c>
    </row>
    <row r="475" spans="1:5" x14ac:dyDescent="0.3">
      <c r="A475" s="3" t="s">
        <v>895</v>
      </c>
      <c r="B475" s="3">
        <v>0</v>
      </c>
      <c r="C475" s="3">
        <v>592</v>
      </c>
      <c r="D475" s="3">
        <v>122</v>
      </c>
      <c r="E475" s="3" t="str">
        <f>LOOKUP(C475,$G$2:$G$7,$H$2:$H$7)</f>
        <v>520-599</v>
      </c>
    </row>
    <row r="476" spans="1:5" x14ac:dyDescent="0.3">
      <c r="A476" s="3" t="s">
        <v>897</v>
      </c>
      <c r="B476" s="3">
        <v>0</v>
      </c>
      <c r="C476" s="3">
        <v>754</v>
      </c>
      <c r="D476" s="3">
        <v>17.5</v>
      </c>
      <c r="E476" s="3" t="str">
        <f>LOOKUP(C476,$G$2:$G$7,$H$2:$H$7)</f>
        <v>750+</v>
      </c>
    </row>
    <row r="477" spans="1:5" x14ac:dyDescent="0.3">
      <c r="A477" s="3" t="s">
        <v>899</v>
      </c>
      <c r="B477" s="3">
        <v>0</v>
      </c>
      <c r="C477" s="3">
        <v>797</v>
      </c>
      <c r="D477" s="3">
        <v>17.600000000000001</v>
      </c>
      <c r="E477" s="3" t="str">
        <f>LOOKUP(C477,$G$2:$G$7,$H$2:$H$7)</f>
        <v>750+</v>
      </c>
    </row>
    <row r="478" spans="1:5" x14ac:dyDescent="0.3">
      <c r="A478" s="3" t="s">
        <v>901</v>
      </c>
      <c r="B478" s="3">
        <v>0</v>
      </c>
      <c r="C478" s="3">
        <v>830</v>
      </c>
      <c r="D478" s="3">
        <v>48.4</v>
      </c>
      <c r="E478" s="3" t="str">
        <f>LOOKUP(C478,$G$2:$G$7,$H$2:$H$7)</f>
        <v>750+</v>
      </c>
    </row>
    <row r="479" spans="1:5" x14ac:dyDescent="0.3">
      <c r="A479" s="3" t="s">
        <v>903</v>
      </c>
      <c r="B479" s="3">
        <v>0</v>
      </c>
      <c r="C479" s="3">
        <v>672</v>
      </c>
      <c r="D479" s="3">
        <v>24.4</v>
      </c>
      <c r="E479" s="3" t="str">
        <f>LOOKUP(C479,$G$2:$G$7,$H$2:$H$7)</f>
        <v>650-699</v>
      </c>
    </row>
    <row r="480" spans="1:5" x14ac:dyDescent="0.3">
      <c r="A480" s="3" t="s">
        <v>905</v>
      </c>
      <c r="B480" s="3">
        <v>0</v>
      </c>
      <c r="C480" s="3">
        <v>605</v>
      </c>
      <c r="D480" s="3">
        <v>15.9</v>
      </c>
      <c r="E480" s="3" t="str">
        <f>LOOKUP(C480,$G$2:$G$7,$H$2:$H$7)</f>
        <v>600-649</v>
      </c>
    </row>
    <row r="481" spans="1:5" x14ac:dyDescent="0.3">
      <c r="A481" s="3" t="s">
        <v>905</v>
      </c>
      <c r="B481" s="3">
        <v>0</v>
      </c>
      <c r="C481" s="3">
        <v>605</v>
      </c>
      <c r="D481" s="3">
        <v>26.8</v>
      </c>
      <c r="E481" s="3" t="str">
        <f>LOOKUP(C481,$G$2:$G$7,$H$2:$H$7)</f>
        <v>600-649</v>
      </c>
    </row>
    <row r="482" spans="1:5" x14ac:dyDescent="0.3">
      <c r="A482" s="3" t="s">
        <v>908</v>
      </c>
      <c r="B482" s="3">
        <v>0</v>
      </c>
      <c r="C482" s="3">
        <v>789</v>
      </c>
      <c r="D482" s="3">
        <v>29.5</v>
      </c>
      <c r="E482" s="3" t="str">
        <f>LOOKUP(C482,$G$2:$G$7,$H$2:$H$7)</f>
        <v>750+</v>
      </c>
    </row>
    <row r="483" spans="1:5" x14ac:dyDescent="0.3">
      <c r="A483" s="3" t="s">
        <v>910</v>
      </c>
      <c r="B483" s="3">
        <v>0</v>
      </c>
      <c r="C483" s="3">
        <v>780</v>
      </c>
      <c r="D483" s="3">
        <v>49.5</v>
      </c>
      <c r="E483" s="3" t="str">
        <f>LOOKUP(C483,$G$2:$G$7,$H$2:$H$7)</f>
        <v>750+</v>
      </c>
    </row>
    <row r="484" spans="1:5" x14ac:dyDescent="0.3">
      <c r="A484" s="3" t="s">
        <v>912</v>
      </c>
      <c r="B484" s="3">
        <v>1</v>
      </c>
      <c r="C484" s="3">
        <v>571</v>
      </c>
      <c r="D484" s="3">
        <v>82</v>
      </c>
      <c r="E484" s="3" t="str">
        <f>LOOKUP(C484,$G$2:$G$7,$H$2:$H$7)</f>
        <v>520-599</v>
      </c>
    </row>
    <row r="485" spans="1:5" x14ac:dyDescent="0.3">
      <c r="A485" s="3" t="s">
        <v>914</v>
      </c>
      <c r="B485" s="3">
        <v>0</v>
      </c>
      <c r="C485" s="3">
        <v>721</v>
      </c>
      <c r="D485" s="3">
        <v>48.3</v>
      </c>
      <c r="E485" s="3" t="str">
        <f>LOOKUP(C485,$G$2:$G$7,$H$2:$H$7)</f>
        <v>700-749</v>
      </c>
    </row>
    <row r="486" spans="1:5" x14ac:dyDescent="0.3">
      <c r="A486" s="3" t="s">
        <v>916</v>
      </c>
      <c r="B486" s="3">
        <v>0</v>
      </c>
      <c r="C486" s="3">
        <v>766</v>
      </c>
      <c r="D486" s="3">
        <v>25.2</v>
      </c>
      <c r="E486" s="3" t="str">
        <f>LOOKUP(C486,$G$2:$G$7,$H$2:$H$7)</f>
        <v>750+</v>
      </c>
    </row>
    <row r="487" spans="1:5" x14ac:dyDescent="0.3">
      <c r="A487" s="3" t="s">
        <v>918</v>
      </c>
      <c r="B487" s="3">
        <v>1</v>
      </c>
      <c r="C487" s="3">
        <v>604</v>
      </c>
      <c r="D487" s="3">
        <v>59</v>
      </c>
      <c r="E487" s="3" t="str">
        <f>LOOKUP(C487,$G$2:$G$7,$H$2:$H$7)</f>
        <v>600-649</v>
      </c>
    </row>
    <row r="488" spans="1:5" x14ac:dyDescent="0.3">
      <c r="A488" s="3" t="s">
        <v>918</v>
      </c>
      <c r="B488" s="3">
        <v>0</v>
      </c>
      <c r="C488" s="3">
        <v>604</v>
      </c>
      <c r="D488" s="3">
        <v>69.400000000000006</v>
      </c>
      <c r="E488" s="3" t="str">
        <f>LOOKUP(C488,$G$2:$G$7,$H$2:$H$7)</f>
        <v>600-649</v>
      </c>
    </row>
    <row r="489" spans="1:5" x14ac:dyDescent="0.3">
      <c r="A489" s="3" t="s">
        <v>921</v>
      </c>
      <c r="B489" s="3">
        <v>1</v>
      </c>
      <c r="C489" s="3">
        <v>591</v>
      </c>
      <c r="D489" s="3">
        <v>48.8</v>
      </c>
      <c r="E489" s="3" t="str">
        <f>LOOKUP(C489,$G$2:$G$7,$H$2:$H$7)</f>
        <v>520-599</v>
      </c>
    </row>
    <row r="490" spans="1:5" x14ac:dyDescent="0.3">
      <c r="A490" s="3" t="s">
        <v>923</v>
      </c>
      <c r="B490" s="3">
        <v>1</v>
      </c>
      <c r="C490" s="3">
        <v>846</v>
      </c>
      <c r="D490" s="3">
        <v>37.6</v>
      </c>
      <c r="E490" s="3" t="str">
        <f>LOOKUP(C490,$G$2:$G$7,$H$2:$H$7)</f>
        <v>750+</v>
      </c>
    </row>
    <row r="491" spans="1:5" x14ac:dyDescent="0.3">
      <c r="A491" s="3" t="s">
        <v>925</v>
      </c>
      <c r="B491" s="3">
        <v>1</v>
      </c>
      <c r="C491" s="3">
        <v>554</v>
      </c>
      <c r="D491" s="3">
        <v>90.2</v>
      </c>
      <c r="E491" s="3" t="str">
        <f>LOOKUP(C491,$G$2:$G$7,$H$2:$H$7)</f>
        <v>520-599</v>
      </c>
    </row>
    <row r="492" spans="1:5" x14ac:dyDescent="0.3">
      <c r="A492" s="3" t="s">
        <v>927</v>
      </c>
      <c r="B492" s="3">
        <v>1</v>
      </c>
      <c r="C492" s="3">
        <v>593</v>
      </c>
      <c r="D492" s="3">
        <v>72.099999999999994</v>
      </c>
      <c r="E492" s="3" t="str">
        <f>LOOKUP(C492,$G$2:$G$7,$H$2:$H$7)</f>
        <v>520-599</v>
      </c>
    </row>
    <row r="493" spans="1:5" x14ac:dyDescent="0.3">
      <c r="A493" s="3" t="s">
        <v>929</v>
      </c>
      <c r="B493" s="3">
        <v>1</v>
      </c>
      <c r="C493" s="3">
        <v>657</v>
      </c>
      <c r="D493" s="3">
        <v>57.8</v>
      </c>
      <c r="E493" s="3" t="str">
        <f>LOOKUP(C493,$G$2:$G$7,$H$2:$H$7)</f>
        <v>650-699</v>
      </c>
    </row>
    <row r="494" spans="1:5" x14ac:dyDescent="0.3">
      <c r="A494" s="3" t="s">
        <v>931</v>
      </c>
      <c r="B494" s="3">
        <v>0</v>
      </c>
      <c r="C494" s="3">
        <v>787</v>
      </c>
      <c r="D494" s="3">
        <v>49.3</v>
      </c>
      <c r="E494" s="3" t="str">
        <f>LOOKUP(C494,$G$2:$G$7,$H$2:$H$7)</f>
        <v>750+</v>
      </c>
    </row>
    <row r="495" spans="1:5" x14ac:dyDescent="0.3">
      <c r="A495" s="3" t="s">
        <v>933</v>
      </c>
      <c r="B495" s="3">
        <v>0</v>
      </c>
      <c r="C495" s="3">
        <v>688</v>
      </c>
      <c r="D495" s="3">
        <v>85.5</v>
      </c>
      <c r="E495" s="3" t="str">
        <f>LOOKUP(C495,$G$2:$G$7,$H$2:$H$7)</f>
        <v>650-699</v>
      </c>
    </row>
    <row r="496" spans="1:5" x14ac:dyDescent="0.3">
      <c r="A496" s="3" t="s">
        <v>935</v>
      </c>
      <c r="B496" s="3">
        <v>1</v>
      </c>
      <c r="C496" s="3">
        <v>594</v>
      </c>
      <c r="D496" s="3">
        <v>56.2</v>
      </c>
      <c r="E496" s="3" t="str">
        <f>LOOKUP(C496,$G$2:$G$7,$H$2:$H$7)</f>
        <v>520-599</v>
      </c>
    </row>
    <row r="497" spans="1:5" x14ac:dyDescent="0.3">
      <c r="A497" s="3" t="s">
        <v>937</v>
      </c>
      <c r="B497" s="3">
        <v>0</v>
      </c>
      <c r="C497" s="3">
        <v>686</v>
      </c>
      <c r="D497" s="3">
        <v>30.2</v>
      </c>
      <c r="E497" s="3" t="str">
        <f>LOOKUP(C497,$G$2:$G$7,$H$2:$H$7)</f>
        <v>650-699</v>
      </c>
    </row>
    <row r="498" spans="1:5" x14ac:dyDescent="0.3">
      <c r="A498" s="3" t="s">
        <v>937</v>
      </c>
      <c r="B498" s="3">
        <v>0</v>
      </c>
      <c r="C498" s="3">
        <v>686</v>
      </c>
      <c r="D498" s="3">
        <v>31.9</v>
      </c>
      <c r="E498" s="3" t="str">
        <f>LOOKUP(C498,$G$2:$G$7,$H$2:$H$7)</f>
        <v>650-699</v>
      </c>
    </row>
    <row r="499" spans="1:5" x14ac:dyDescent="0.3">
      <c r="A499" s="3" t="s">
        <v>940</v>
      </c>
      <c r="B499" s="3">
        <v>0</v>
      </c>
      <c r="C499" s="3">
        <v>622</v>
      </c>
      <c r="D499" s="3">
        <v>62.3</v>
      </c>
      <c r="E499" s="3" t="str">
        <f>LOOKUP(C499,$G$2:$G$7,$H$2:$H$7)</f>
        <v>600-649</v>
      </c>
    </row>
    <row r="500" spans="1:5" x14ac:dyDescent="0.3">
      <c r="A500" s="3" t="s">
        <v>942</v>
      </c>
      <c r="B500" s="3">
        <v>0</v>
      </c>
      <c r="C500" s="3">
        <v>761</v>
      </c>
      <c r="D500" s="3">
        <v>155.30000000000001</v>
      </c>
      <c r="E500" s="3" t="str">
        <f>LOOKUP(C500,$G$2:$G$7,$H$2:$H$7)</f>
        <v>750+</v>
      </c>
    </row>
    <row r="501" spans="1:5" x14ac:dyDescent="0.3">
      <c r="A501" s="3" t="s">
        <v>944</v>
      </c>
      <c r="B501" s="3">
        <v>1</v>
      </c>
      <c r="C501" s="3">
        <v>687</v>
      </c>
      <c r="D501" s="3">
        <v>53.9</v>
      </c>
      <c r="E501" s="3" t="str">
        <f>LOOKUP(C501,$G$2:$G$7,$H$2:$H$7)</f>
        <v>650-699</v>
      </c>
    </row>
    <row r="502" spans="1:5" x14ac:dyDescent="0.3">
      <c r="A502" s="3" t="s">
        <v>946</v>
      </c>
      <c r="B502" s="3">
        <v>0</v>
      </c>
      <c r="C502" s="3">
        <v>648</v>
      </c>
      <c r="D502" s="3">
        <v>31.5</v>
      </c>
      <c r="E502" s="3" t="str">
        <f>LOOKUP(C502,$G$2:$G$7,$H$2:$H$7)</f>
        <v>600-649</v>
      </c>
    </row>
    <row r="503" spans="1:5" x14ac:dyDescent="0.3">
      <c r="A503" s="3" t="s">
        <v>948</v>
      </c>
      <c r="B503" s="3">
        <v>0</v>
      </c>
      <c r="C503" s="3">
        <v>846</v>
      </c>
      <c r="D503" s="3">
        <v>18.100000000000001</v>
      </c>
      <c r="E503" s="3" t="str">
        <f>LOOKUP(C503,$G$2:$G$7,$H$2:$H$7)</f>
        <v>750+</v>
      </c>
    </row>
    <row r="504" spans="1:5" x14ac:dyDescent="0.3">
      <c r="A504" s="3" t="s">
        <v>948</v>
      </c>
      <c r="B504" s="3">
        <v>0</v>
      </c>
      <c r="C504" s="3">
        <v>846</v>
      </c>
      <c r="D504" s="3">
        <v>18.399999999999999</v>
      </c>
      <c r="E504" s="3" t="str">
        <f>LOOKUP(C504,$G$2:$G$7,$H$2:$H$7)</f>
        <v>750+</v>
      </c>
    </row>
    <row r="505" spans="1:5" x14ac:dyDescent="0.3">
      <c r="A505" s="3" t="s">
        <v>951</v>
      </c>
      <c r="B505" s="3">
        <v>0</v>
      </c>
      <c r="C505" s="3">
        <v>586</v>
      </c>
      <c r="D505" s="3">
        <v>24.5</v>
      </c>
      <c r="E505" s="3" t="str">
        <f>LOOKUP(C505,$G$2:$G$7,$H$2:$H$7)</f>
        <v>520-599</v>
      </c>
    </row>
    <row r="506" spans="1:5" x14ac:dyDescent="0.3">
      <c r="A506" s="3" t="s">
        <v>953</v>
      </c>
      <c r="B506" s="3">
        <v>0</v>
      </c>
      <c r="C506" s="3">
        <v>619</v>
      </c>
      <c r="D506" s="3">
        <v>56.2</v>
      </c>
      <c r="E506" s="3" t="str">
        <f>LOOKUP(C506,$G$2:$G$7,$H$2:$H$7)</f>
        <v>600-649</v>
      </c>
    </row>
    <row r="507" spans="1:5" x14ac:dyDescent="0.3">
      <c r="A507" s="3" t="s">
        <v>953</v>
      </c>
      <c r="B507" s="3">
        <v>0</v>
      </c>
      <c r="C507" s="3">
        <v>619</v>
      </c>
      <c r="D507" s="3">
        <v>67.400000000000006</v>
      </c>
      <c r="E507" s="3" t="str">
        <f>LOOKUP(C507,$G$2:$G$7,$H$2:$H$7)</f>
        <v>600-649</v>
      </c>
    </row>
    <row r="508" spans="1:5" x14ac:dyDescent="0.3">
      <c r="A508" s="3" t="s">
        <v>956</v>
      </c>
      <c r="B508" s="3">
        <v>1</v>
      </c>
      <c r="C508" s="3">
        <v>828</v>
      </c>
      <c r="D508" s="3">
        <v>45.4</v>
      </c>
      <c r="E508" s="3" t="str">
        <f>LOOKUP(C508,$G$2:$G$7,$H$2:$H$7)</f>
        <v>750+</v>
      </c>
    </row>
    <row r="509" spans="1:5" x14ac:dyDescent="0.3">
      <c r="A509" s="3" t="s">
        <v>958</v>
      </c>
      <c r="B509" s="3">
        <v>1</v>
      </c>
      <c r="C509" s="3">
        <v>808</v>
      </c>
      <c r="D509" s="3">
        <v>19.5</v>
      </c>
      <c r="E509" s="3" t="str">
        <f>LOOKUP(C509,$G$2:$G$7,$H$2:$H$7)</f>
        <v>750+</v>
      </c>
    </row>
    <row r="510" spans="1:5" x14ac:dyDescent="0.3">
      <c r="A510" s="3" t="s">
        <v>960</v>
      </c>
      <c r="B510" s="3">
        <v>0</v>
      </c>
      <c r="C510" s="3">
        <v>850</v>
      </c>
      <c r="D510" s="3">
        <v>62.8</v>
      </c>
      <c r="E510" s="3" t="str">
        <f>LOOKUP(C510,$G$2:$G$7,$H$2:$H$7)</f>
        <v>750+</v>
      </c>
    </row>
    <row r="511" spans="1:5" x14ac:dyDescent="0.3">
      <c r="A511" s="3" t="s">
        <v>962</v>
      </c>
      <c r="B511" s="3">
        <v>1</v>
      </c>
      <c r="C511" s="3">
        <v>850</v>
      </c>
      <c r="D511" s="3">
        <v>49</v>
      </c>
      <c r="E511" s="3" t="str">
        <f>LOOKUP(C511,$G$2:$G$7,$H$2:$H$7)</f>
        <v>750+</v>
      </c>
    </row>
    <row r="512" spans="1:5" x14ac:dyDescent="0.3">
      <c r="A512" s="3" t="s">
        <v>962</v>
      </c>
      <c r="B512" s="3">
        <v>0</v>
      </c>
      <c r="C512" s="3">
        <v>850</v>
      </c>
      <c r="D512" s="3">
        <v>72.400000000000006</v>
      </c>
      <c r="E512" s="3" t="str">
        <f>LOOKUP(C512,$G$2:$G$7,$H$2:$H$7)</f>
        <v>750+</v>
      </c>
    </row>
    <row r="513" spans="1:5" x14ac:dyDescent="0.3">
      <c r="A513" s="3" t="s">
        <v>965</v>
      </c>
      <c r="B513" s="3">
        <v>1</v>
      </c>
      <c r="C513" s="3">
        <v>661</v>
      </c>
      <c r="D513" s="3">
        <v>61.9</v>
      </c>
      <c r="E513" s="3" t="str">
        <f>LOOKUP(C513,$G$2:$G$7,$H$2:$H$7)</f>
        <v>650-699</v>
      </c>
    </row>
    <row r="514" spans="1:5" x14ac:dyDescent="0.3">
      <c r="A514" s="3" t="s">
        <v>967</v>
      </c>
      <c r="B514" s="3">
        <v>0</v>
      </c>
      <c r="C514" s="3">
        <v>686</v>
      </c>
      <c r="D514" s="3">
        <v>13.4</v>
      </c>
      <c r="E514" s="3" t="str">
        <f>LOOKUP(C514,$G$2:$G$7,$H$2:$H$7)</f>
        <v>650-699</v>
      </c>
    </row>
    <row r="515" spans="1:5" x14ac:dyDescent="0.3">
      <c r="A515" s="3" t="s">
        <v>969</v>
      </c>
      <c r="B515" s="3">
        <v>0</v>
      </c>
      <c r="C515" s="3">
        <v>847</v>
      </c>
      <c r="D515" s="3">
        <v>21.5</v>
      </c>
      <c r="E515" s="3" t="str">
        <f>LOOKUP(C515,$G$2:$G$7,$H$2:$H$7)</f>
        <v>750+</v>
      </c>
    </row>
    <row r="516" spans="1:5" x14ac:dyDescent="0.3">
      <c r="A516" s="3" t="s">
        <v>971</v>
      </c>
      <c r="B516" s="3">
        <v>1</v>
      </c>
      <c r="C516" s="3">
        <v>576</v>
      </c>
      <c r="D516" s="3">
        <v>64.8</v>
      </c>
      <c r="E516" s="3" t="str">
        <f>LOOKUP(C516,$G$2:$G$7,$H$2:$H$7)</f>
        <v>520-599</v>
      </c>
    </row>
    <row r="517" spans="1:5" x14ac:dyDescent="0.3">
      <c r="A517" s="3" t="s">
        <v>973</v>
      </c>
      <c r="B517" s="3">
        <v>0</v>
      </c>
      <c r="C517" s="3">
        <v>641</v>
      </c>
      <c r="D517" s="3">
        <v>86</v>
      </c>
      <c r="E517" s="3" t="str">
        <f>LOOKUP(C517,$G$2:$G$7,$H$2:$H$7)</f>
        <v>600-649</v>
      </c>
    </row>
    <row r="518" spans="1:5" x14ac:dyDescent="0.3">
      <c r="A518" s="3" t="s">
        <v>973</v>
      </c>
      <c r="B518" s="3">
        <v>1</v>
      </c>
      <c r="C518" s="3">
        <v>641</v>
      </c>
      <c r="D518" s="3">
        <v>52.8</v>
      </c>
      <c r="E518" s="3" t="str">
        <f>LOOKUP(C518,$G$2:$G$7,$H$2:$H$7)</f>
        <v>600-649</v>
      </c>
    </row>
    <row r="519" spans="1:5" x14ac:dyDescent="0.3">
      <c r="A519" s="3" t="s">
        <v>976</v>
      </c>
      <c r="B519" s="3">
        <v>0</v>
      </c>
      <c r="C519" s="3">
        <v>846</v>
      </c>
      <c r="D519" s="3">
        <v>55.7</v>
      </c>
      <c r="E519" s="3" t="str">
        <f>LOOKUP(C519,$G$2:$G$7,$H$2:$H$7)</f>
        <v>750+</v>
      </c>
    </row>
    <row r="520" spans="1:5" x14ac:dyDescent="0.3">
      <c r="A520" s="3" t="s">
        <v>978</v>
      </c>
      <c r="B520" s="3">
        <v>0</v>
      </c>
      <c r="C520" s="3">
        <v>704</v>
      </c>
      <c r="D520" s="3">
        <v>32.4</v>
      </c>
      <c r="E520" s="3" t="str">
        <f>LOOKUP(C520,$G$2:$G$7,$H$2:$H$7)</f>
        <v>700-749</v>
      </c>
    </row>
    <row r="521" spans="1:5" x14ac:dyDescent="0.3">
      <c r="A521" s="3" t="s">
        <v>978</v>
      </c>
      <c r="B521" s="3">
        <v>0</v>
      </c>
      <c r="C521" s="3">
        <v>704</v>
      </c>
      <c r="D521" s="3">
        <v>37.6</v>
      </c>
      <c r="E521" s="3" t="str">
        <f>LOOKUP(C521,$G$2:$G$7,$H$2:$H$7)</f>
        <v>700-749</v>
      </c>
    </row>
    <row r="522" spans="1:5" x14ac:dyDescent="0.3">
      <c r="A522" s="3" t="s">
        <v>981</v>
      </c>
      <c r="B522" s="3">
        <v>0</v>
      </c>
      <c r="C522" s="3">
        <v>725</v>
      </c>
      <c r="D522" s="3">
        <v>47.1</v>
      </c>
      <c r="E522" s="3" t="str">
        <f>LOOKUP(C522,$G$2:$G$7,$H$2:$H$7)</f>
        <v>700-749</v>
      </c>
    </row>
    <row r="523" spans="1:5" x14ac:dyDescent="0.3">
      <c r="A523" s="3" t="s">
        <v>983</v>
      </c>
      <c r="B523" s="3">
        <v>0</v>
      </c>
      <c r="C523" s="3">
        <v>809</v>
      </c>
      <c r="D523" s="3">
        <v>77.8</v>
      </c>
      <c r="E523" s="3" t="str">
        <f>LOOKUP(C523,$G$2:$G$7,$H$2:$H$7)</f>
        <v>750+</v>
      </c>
    </row>
    <row r="524" spans="1:5" x14ac:dyDescent="0.3">
      <c r="A524" s="3" t="s">
        <v>985</v>
      </c>
      <c r="B524" s="3">
        <v>0</v>
      </c>
      <c r="C524" s="3">
        <v>721</v>
      </c>
      <c r="D524" s="3">
        <v>23.8</v>
      </c>
      <c r="E524" s="3" t="str">
        <f>LOOKUP(C524,$G$2:$G$7,$H$2:$H$7)</f>
        <v>700-749</v>
      </c>
    </row>
    <row r="525" spans="1:5" x14ac:dyDescent="0.3">
      <c r="A525" s="3" t="s">
        <v>987</v>
      </c>
      <c r="B525" s="3">
        <v>1</v>
      </c>
      <c r="C525" s="3">
        <v>617</v>
      </c>
      <c r="D525" s="3">
        <v>48.4</v>
      </c>
      <c r="E525" s="3" t="str">
        <f>LOOKUP(C525,$G$2:$G$7,$H$2:$H$7)</f>
        <v>600-649</v>
      </c>
    </row>
    <row r="526" spans="1:5" x14ac:dyDescent="0.3">
      <c r="A526" s="3" t="s">
        <v>989</v>
      </c>
      <c r="B526" s="3">
        <v>0</v>
      </c>
      <c r="C526" s="3">
        <v>564</v>
      </c>
      <c r="D526" s="3">
        <v>124.5</v>
      </c>
      <c r="E526" s="3" t="str">
        <f>LOOKUP(C526,$G$2:$G$7,$H$2:$H$7)</f>
        <v>520-599</v>
      </c>
    </row>
    <row r="527" spans="1:5" x14ac:dyDescent="0.3">
      <c r="A527" s="3" t="s">
        <v>991</v>
      </c>
      <c r="B527" s="3">
        <v>1</v>
      </c>
      <c r="C527" s="3">
        <v>842</v>
      </c>
      <c r="D527" s="3">
        <v>59</v>
      </c>
      <c r="E527" s="3" t="str">
        <f>LOOKUP(C527,$G$2:$G$7,$H$2:$H$7)</f>
        <v>750+</v>
      </c>
    </row>
    <row r="528" spans="1:5" x14ac:dyDescent="0.3">
      <c r="A528" s="3" t="s">
        <v>993</v>
      </c>
      <c r="B528" s="3">
        <v>0</v>
      </c>
      <c r="C528" s="3">
        <v>711</v>
      </c>
      <c r="D528" s="3">
        <v>32.4</v>
      </c>
      <c r="E528" s="3" t="str">
        <f>LOOKUP(C528,$G$2:$G$7,$H$2:$H$7)</f>
        <v>700-749</v>
      </c>
    </row>
    <row r="529" spans="1:5" x14ac:dyDescent="0.3">
      <c r="A529" s="3" t="s">
        <v>995</v>
      </c>
      <c r="B529" s="3">
        <v>0</v>
      </c>
      <c r="C529" s="3">
        <v>714</v>
      </c>
      <c r="D529" s="3">
        <v>34.4</v>
      </c>
      <c r="E529" s="3" t="str">
        <f>LOOKUP(C529,$G$2:$G$7,$H$2:$H$7)</f>
        <v>700-749</v>
      </c>
    </row>
    <row r="530" spans="1:5" x14ac:dyDescent="0.3">
      <c r="A530" s="3" t="s">
        <v>997</v>
      </c>
      <c r="B530" s="3">
        <v>0</v>
      </c>
      <c r="C530" s="3">
        <v>850</v>
      </c>
      <c r="D530" s="3">
        <v>49.4</v>
      </c>
      <c r="E530" s="3" t="str">
        <f>LOOKUP(C530,$G$2:$G$7,$H$2:$H$7)</f>
        <v>750+</v>
      </c>
    </row>
    <row r="531" spans="1:5" x14ac:dyDescent="0.3">
      <c r="A531" s="3" t="s">
        <v>999</v>
      </c>
      <c r="B531" s="3">
        <v>1</v>
      </c>
      <c r="C531" s="3">
        <v>568</v>
      </c>
      <c r="D531" s="3">
        <v>50.5</v>
      </c>
      <c r="E531" s="3" t="str">
        <f>LOOKUP(C531,$G$2:$G$7,$H$2:$H$7)</f>
        <v>520-599</v>
      </c>
    </row>
    <row r="532" spans="1:5" x14ac:dyDescent="0.3">
      <c r="A532" s="3" t="s">
        <v>1001</v>
      </c>
      <c r="B532" s="3">
        <v>1</v>
      </c>
      <c r="C532" s="3">
        <v>663</v>
      </c>
      <c r="D532" s="3">
        <v>90.1</v>
      </c>
      <c r="E532" s="3" t="str">
        <f>LOOKUP(C532,$G$2:$G$7,$H$2:$H$7)</f>
        <v>650-699</v>
      </c>
    </row>
    <row r="533" spans="1:5" x14ac:dyDescent="0.3">
      <c r="A533" s="3" t="s">
        <v>1003</v>
      </c>
      <c r="B533" s="3">
        <v>0</v>
      </c>
      <c r="C533" s="3">
        <v>683</v>
      </c>
      <c r="D533" s="3">
        <v>45.1</v>
      </c>
      <c r="E533" s="3" t="str">
        <f>LOOKUP(C533,$G$2:$G$7,$H$2:$H$7)</f>
        <v>650-699</v>
      </c>
    </row>
    <row r="534" spans="1:5" x14ac:dyDescent="0.3">
      <c r="A534" s="3" t="s">
        <v>1005</v>
      </c>
      <c r="B534" s="3">
        <v>0</v>
      </c>
      <c r="C534" s="3">
        <v>850</v>
      </c>
      <c r="D534" s="3">
        <v>32</v>
      </c>
      <c r="E534" s="3" t="str">
        <f>LOOKUP(C534,$G$2:$G$7,$H$2:$H$7)</f>
        <v>750+</v>
      </c>
    </row>
    <row r="535" spans="1:5" x14ac:dyDescent="0.3">
      <c r="A535" s="3" t="s">
        <v>1005</v>
      </c>
      <c r="B535" s="3">
        <v>0</v>
      </c>
      <c r="C535" s="3">
        <v>850</v>
      </c>
      <c r="D535" s="3">
        <v>57.4</v>
      </c>
      <c r="E535" s="3" t="str">
        <f>LOOKUP(C535,$G$2:$G$7,$H$2:$H$7)</f>
        <v>750+</v>
      </c>
    </row>
    <row r="536" spans="1:5" x14ac:dyDescent="0.3">
      <c r="A536" s="3" t="s">
        <v>1008</v>
      </c>
      <c r="B536" s="3">
        <v>0</v>
      </c>
      <c r="C536" s="3">
        <v>797</v>
      </c>
      <c r="D536" s="3">
        <v>15.6</v>
      </c>
      <c r="E536" s="3" t="str">
        <f>LOOKUP(C536,$G$2:$G$7,$H$2:$H$7)</f>
        <v>750+</v>
      </c>
    </row>
    <row r="537" spans="1:5" x14ac:dyDescent="0.3">
      <c r="A537" s="3" t="s">
        <v>1010</v>
      </c>
      <c r="B537" s="3">
        <v>0</v>
      </c>
      <c r="C537" s="3">
        <v>714</v>
      </c>
      <c r="D537" s="3">
        <v>10.5</v>
      </c>
      <c r="E537" s="3" t="str">
        <f>LOOKUP(C537,$G$2:$G$7,$H$2:$H$7)</f>
        <v>700-749</v>
      </c>
    </row>
    <row r="538" spans="1:5" x14ac:dyDescent="0.3">
      <c r="A538" s="3" t="s">
        <v>1012</v>
      </c>
      <c r="B538" s="3">
        <v>0</v>
      </c>
      <c r="C538" s="3">
        <v>670</v>
      </c>
      <c r="D538" s="3">
        <v>49.1</v>
      </c>
      <c r="E538" s="3" t="str">
        <f>LOOKUP(C538,$G$2:$G$7,$H$2:$H$7)</f>
        <v>650-699</v>
      </c>
    </row>
    <row r="539" spans="1:5" x14ac:dyDescent="0.3">
      <c r="A539" s="3" t="s">
        <v>1014</v>
      </c>
      <c r="B539" s="3">
        <v>0</v>
      </c>
      <c r="C539" s="3">
        <v>658</v>
      </c>
      <c r="D539" s="3">
        <v>42.4</v>
      </c>
      <c r="E539" s="3" t="str">
        <f>LOOKUP(C539,$G$2:$G$7,$H$2:$H$7)</f>
        <v>650-699</v>
      </c>
    </row>
    <row r="540" spans="1:5" x14ac:dyDescent="0.3">
      <c r="A540" s="3" t="s">
        <v>1016</v>
      </c>
      <c r="B540" s="3">
        <v>0</v>
      </c>
      <c r="C540" s="3">
        <v>791</v>
      </c>
      <c r="D540" s="3">
        <v>52.7</v>
      </c>
      <c r="E540" s="3" t="str">
        <f>LOOKUP(C540,$G$2:$G$7,$H$2:$H$7)</f>
        <v>750+</v>
      </c>
    </row>
    <row r="541" spans="1:5" x14ac:dyDescent="0.3">
      <c r="A541" s="3" t="s">
        <v>1018</v>
      </c>
      <c r="B541" s="3">
        <v>0</v>
      </c>
      <c r="C541" s="3">
        <v>590</v>
      </c>
      <c r="D541" s="3">
        <v>45.4</v>
      </c>
      <c r="E541" s="3" t="str">
        <f>LOOKUP(C541,$G$2:$G$7,$H$2:$H$7)</f>
        <v>520-599</v>
      </c>
    </row>
    <row r="542" spans="1:5" x14ac:dyDescent="0.3">
      <c r="A542" s="3" t="s">
        <v>1020</v>
      </c>
      <c r="B542" s="3">
        <v>1</v>
      </c>
      <c r="C542" s="3">
        <v>740</v>
      </c>
      <c r="D542" s="3">
        <v>59.4</v>
      </c>
      <c r="E542" s="3" t="str">
        <f>LOOKUP(C542,$G$2:$G$7,$H$2:$H$7)</f>
        <v>700-749</v>
      </c>
    </row>
    <row r="543" spans="1:5" x14ac:dyDescent="0.3">
      <c r="A543" s="3" t="s">
        <v>1020</v>
      </c>
      <c r="B543" s="3">
        <v>0</v>
      </c>
      <c r="C543" s="3">
        <v>740</v>
      </c>
      <c r="D543" s="3">
        <v>28.5</v>
      </c>
      <c r="E543" s="3" t="str">
        <f>LOOKUP(C543,$G$2:$G$7,$H$2:$H$7)</f>
        <v>700-749</v>
      </c>
    </row>
    <row r="544" spans="1:5" x14ac:dyDescent="0.3">
      <c r="A544" s="3" t="s">
        <v>1023</v>
      </c>
      <c r="B544" s="3">
        <v>0</v>
      </c>
      <c r="C544" s="3">
        <v>615</v>
      </c>
      <c r="D544" s="3">
        <v>61.3</v>
      </c>
      <c r="E544" s="3" t="str">
        <f>LOOKUP(C544,$G$2:$G$7,$H$2:$H$7)</f>
        <v>600-649</v>
      </c>
    </row>
    <row r="545" spans="1:5" x14ac:dyDescent="0.3">
      <c r="A545" s="3" t="s">
        <v>1025</v>
      </c>
      <c r="B545" s="3">
        <v>0</v>
      </c>
      <c r="C545" s="3">
        <v>685</v>
      </c>
      <c r="D545" s="3">
        <v>56.8</v>
      </c>
      <c r="E545" s="3" t="str">
        <f>LOOKUP(C545,$G$2:$G$7,$H$2:$H$7)</f>
        <v>650-699</v>
      </c>
    </row>
    <row r="546" spans="1:5" x14ac:dyDescent="0.3">
      <c r="A546" s="3" t="s">
        <v>1027</v>
      </c>
      <c r="B546" s="3">
        <v>0</v>
      </c>
      <c r="C546" s="3">
        <v>823</v>
      </c>
      <c r="D546" s="3">
        <v>32.9</v>
      </c>
      <c r="E546" s="3" t="str">
        <f>LOOKUP(C546,$G$2:$G$7,$H$2:$H$7)</f>
        <v>750+</v>
      </c>
    </row>
    <row r="547" spans="1:5" x14ac:dyDescent="0.3">
      <c r="A547" s="3" t="s">
        <v>1027</v>
      </c>
      <c r="B547" s="3">
        <v>0</v>
      </c>
      <c r="C547" s="3">
        <v>823</v>
      </c>
      <c r="D547" s="3">
        <v>32</v>
      </c>
      <c r="E547" s="3" t="str">
        <f>LOOKUP(C547,$G$2:$G$7,$H$2:$H$7)</f>
        <v>750+</v>
      </c>
    </row>
    <row r="548" spans="1:5" x14ac:dyDescent="0.3">
      <c r="A548" s="3" t="s">
        <v>1030</v>
      </c>
      <c r="B548" s="3">
        <v>0</v>
      </c>
      <c r="C548" s="3">
        <v>647</v>
      </c>
      <c r="D548" s="3">
        <v>34.799999999999997</v>
      </c>
      <c r="E548" s="3" t="str">
        <f>LOOKUP(C548,$G$2:$G$7,$H$2:$H$7)</f>
        <v>600-649</v>
      </c>
    </row>
    <row r="549" spans="1:5" x14ac:dyDescent="0.3">
      <c r="A549" s="3" t="s">
        <v>1032</v>
      </c>
      <c r="B549" s="3">
        <v>0</v>
      </c>
      <c r="C549" s="3">
        <v>625</v>
      </c>
      <c r="D549" s="3">
        <v>54.1</v>
      </c>
      <c r="E549" s="3" t="str">
        <f>LOOKUP(C549,$G$2:$G$7,$H$2:$H$7)</f>
        <v>600-649</v>
      </c>
    </row>
    <row r="550" spans="1:5" x14ac:dyDescent="0.3">
      <c r="A550" s="3" t="s">
        <v>1034</v>
      </c>
      <c r="B550" s="3">
        <v>0</v>
      </c>
      <c r="C550" s="3">
        <v>850</v>
      </c>
      <c r="D550" s="3">
        <v>79.900000000000006</v>
      </c>
      <c r="E550" s="3" t="str">
        <f>LOOKUP(C550,$G$2:$G$7,$H$2:$H$7)</f>
        <v>750+</v>
      </c>
    </row>
    <row r="551" spans="1:5" x14ac:dyDescent="0.3">
      <c r="A551" s="3" t="s">
        <v>1036</v>
      </c>
      <c r="B551" s="3">
        <v>0</v>
      </c>
      <c r="C551" s="3">
        <v>801</v>
      </c>
      <c r="D551" s="3">
        <v>70.8</v>
      </c>
      <c r="E551" s="3" t="str">
        <f>LOOKUP(C551,$G$2:$G$7,$H$2:$H$7)</f>
        <v>750+</v>
      </c>
    </row>
    <row r="552" spans="1:5" x14ac:dyDescent="0.3">
      <c r="A552" s="3" t="s">
        <v>1038</v>
      </c>
      <c r="B552" s="3">
        <v>0</v>
      </c>
      <c r="C552" s="3">
        <v>834</v>
      </c>
      <c r="D552" s="3">
        <v>23.6</v>
      </c>
      <c r="E552" s="3" t="str">
        <f>LOOKUP(C552,$G$2:$G$7,$H$2:$H$7)</f>
        <v>750+</v>
      </c>
    </row>
    <row r="553" spans="1:5" x14ac:dyDescent="0.3">
      <c r="A553" s="3" t="s">
        <v>1040</v>
      </c>
      <c r="B553" s="3">
        <v>0</v>
      </c>
      <c r="C553" s="3">
        <v>626</v>
      </c>
      <c r="D553" s="3">
        <v>47</v>
      </c>
      <c r="E553" s="3" t="str">
        <f>LOOKUP(C553,$G$2:$G$7,$H$2:$H$7)</f>
        <v>600-649</v>
      </c>
    </row>
    <row r="554" spans="1:5" x14ac:dyDescent="0.3">
      <c r="A554" s="3" t="s">
        <v>1042</v>
      </c>
      <c r="B554" s="3">
        <v>0</v>
      </c>
      <c r="C554" s="3">
        <v>691</v>
      </c>
      <c r="D554" s="3">
        <v>38</v>
      </c>
      <c r="E554" s="3" t="str">
        <f>LOOKUP(C554,$G$2:$G$7,$H$2:$H$7)</f>
        <v>650-699</v>
      </c>
    </row>
    <row r="555" spans="1:5" x14ac:dyDescent="0.3">
      <c r="A555" s="3" t="s">
        <v>1042</v>
      </c>
      <c r="B555" s="3">
        <v>0</v>
      </c>
      <c r="C555" s="3">
        <v>691</v>
      </c>
      <c r="D555" s="3">
        <v>46.4</v>
      </c>
      <c r="E555" s="3" t="str">
        <f>LOOKUP(C555,$G$2:$G$7,$H$2:$H$7)</f>
        <v>650-699</v>
      </c>
    </row>
    <row r="556" spans="1:5" x14ac:dyDescent="0.3">
      <c r="A556" s="3" t="s">
        <v>1045</v>
      </c>
      <c r="B556" s="3">
        <v>0</v>
      </c>
      <c r="C556" s="3">
        <v>681</v>
      </c>
      <c r="D556" s="3">
        <v>46.1</v>
      </c>
      <c r="E556" s="3" t="str">
        <f>LOOKUP(C556,$G$2:$G$7,$H$2:$H$7)</f>
        <v>650-699</v>
      </c>
    </row>
    <row r="557" spans="1:5" x14ac:dyDescent="0.3">
      <c r="A557" s="3" t="s">
        <v>1047</v>
      </c>
      <c r="B557" s="3">
        <v>0</v>
      </c>
      <c r="C557" s="3">
        <v>682</v>
      </c>
      <c r="D557" s="3">
        <v>17.600000000000001</v>
      </c>
      <c r="E557" s="3" t="str">
        <f>LOOKUP(C557,$G$2:$G$7,$H$2:$H$7)</f>
        <v>650-699</v>
      </c>
    </row>
    <row r="558" spans="1:5" x14ac:dyDescent="0.3">
      <c r="A558" s="3" t="s">
        <v>1047</v>
      </c>
      <c r="B558" s="3">
        <v>0</v>
      </c>
      <c r="C558" s="3">
        <v>682</v>
      </c>
      <c r="D558" s="3">
        <v>32.200000000000003</v>
      </c>
      <c r="E558" s="3" t="str">
        <f>LOOKUP(C558,$G$2:$G$7,$H$2:$H$7)</f>
        <v>650-699</v>
      </c>
    </row>
    <row r="559" spans="1:5" x14ac:dyDescent="0.3">
      <c r="A559" s="3" t="s">
        <v>1050</v>
      </c>
      <c r="B559" s="3">
        <v>1</v>
      </c>
      <c r="C559" s="3">
        <v>612</v>
      </c>
      <c r="D559" s="3">
        <v>55.4</v>
      </c>
      <c r="E559" s="3" t="str">
        <f>LOOKUP(C559,$G$2:$G$7,$H$2:$H$7)</f>
        <v>600-649</v>
      </c>
    </row>
    <row r="560" spans="1:5" x14ac:dyDescent="0.3">
      <c r="A560" s="3" t="s">
        <v>1052</v>
      </c>
      <c r="B560" s="3">
        <v>1</v>
      </c>
      <c r="C560" s="3">
        <v>850</v>
      </c>
      <c r="D560" s="3">
        <v>70.099999999999994</v>
      </c>
      <c r="E560" s="3" t="str">
        <f>LOOKUP(C560,$G$2:$G$7,$H$2:$H$7)</f>
        <v>750+</v>
      </c>
    </row>
    <row r="561" spans="1:5" x14ac:dyDescent="0.3">
      <c r="A561" s="3" t="s">
        <v>1054</v>
      </c>
      <c r="B561" s="3">
        <v>0</v>
      </c>
      <c r="C561" s="3">
        <v>836</v>
      </c>
      <c r="D561" s="3">
        <v>50</v>
      </c>
      <c r="E561" s="3" t="str">
        <f>LOOKUP(C561,$G$2:$G$7,$H$2:$H$7)</f>
        <v>750+</v>
      </c>
    </row>
    <row r="562" spans="1:5" x14ac:dyDescent="0.3">
      <c r="A562" s="3" t="s">
        <v>1054</v>
      </c>
      <c r="B562" s="3">
        <v>0</v>
      </c>
      <c r="C562" s="3">
        <v>836</v>
      </c>
      <c r="D562" s="3">
        <v>47</v>
      </c>
      <c r="E562" s="3" t="str">
        <f>LOOKUP(C562,$G$2:$G$7,$H$2:$H$7)</f>
        <v>750+</v>
      </c>
    </row>
    <row r="563" spans="1:5" x14ac:dyDescent="0.3">
      <c r="A563" s="3" t="s">
        <v>1057</v>
      </c>
      <c r="B563" s="3">
        <v>0</v>
      </c>
      <c r="C563" s="3">
        <v>609</v>
      </c>
      <c r="D563" s="3">
        <v>79.2</v>
      </c>
      <c r="E563" s="3" t="str">
        <f>LOOKUP(C563,$G$2:$G$7,$H$2:$H$7)</f>
        <v>600-649</v>
      </c>
    </row>
    <row r="564" spans="1:5" x14ac:dyDescent="0.3">
      <c r="A564" s="3" t="s">
        <v>1057</v>
      </c>
      <c r="B564" s="3">
        <v>1</v>
      </c>
      <c r="C564" s="3">
        <v>609</v>
      </c>
      <c r="D564" s="3">
        <v>62</v>
      </c>
      <c r="E564" s="3" t="str">
        <f>LOOKUP(C564,$G$2:$G$7,$H$2:$H$7)</f>
        <v>600-649</v>
      </c>
    </row>
    <row r="565" spans="1:5" x14ac:dyDescent="0.3">
      <c r="A565" s="3" t="s">
        <v>1060</v>
      </c>
      <c r="B565" s="3">
        <v>0</v>
      </c>
      <c r="C565" s="3">
        <v>794</v>
      </c>
      <c r="D565" s="3">
        <v>102.4</v>
      </c>
      <c r="E565" s="3" t="str">
        <f>LOOKUP(C565,$G$2:$G$7,$H$2:$H$7)</f>
        <v>750+</v>
      </c>
    </row>
    <row r="566" spans="1:5" x14ac:dyDescent="0.3">
      <c r="A566" s="3" t="s">
        <v>1062</v>
      </c>
      <c r="B566" s="3">
        <v>0</v>
      </c>
      <c r="C566" s="3">
        <v>744</v>
      </c>
      <c r="D566" s="3">
        <v>33.5</v>
      </c>
      <c r="E566" s="3" t="str">
        <f>LOOKUP(C566,$G$2:$G$7,$H$2:$H$7)</f>
        <v>700-749</v>
      </c>
    </row>
    <row r="567" spans="1:5" x14ac:dyDescent="0.3">
      <c r="A567" s="3" t="s">
        <v>1062</v>
      </c>
      <c r="B567" s="3">
        <v>1</v>
      </c>
      <c r="C567" s="3">
        <v>744</v>
      </c>
      <c r="D567" s="3">
        <v>74</v>
      </c>
      <c r="E567" s="3" t="str">
        <f>LOOKUP(C567,$G$2:$G$7,$H$2:$H$7)</f>
        <v>700-749</v>
      </c>
    </row>
    <row r="568" spans="1:5" x14ac:dyDescent="0.3">
      <c r="A568" s="3" t="s">
        <v>1065</v>
      </c>
      <c r="B568" s="3">
        <v>0</v>
      </c>
      <c r="C568" s="3">
        <v>811</v>
      </c>
      <c r="D568" s="3">
        <v>44.2</v>
      </c>
      <c r="E568" s="3" t="str">
        <f>LOOKUP(C568,$G$2:$G$7,$H$2:$H$7)</f>
        <v>750+</v>
      </c>
    </row>
    <row r="569" spans="1:5" x14ac:dyDescent="0.3">
      <c r="A569" s="3" t="s">
        <v>1065</v>
      </c>
      <c r="B569" s="3">
        <v>0</v>
      </c>
      <c r="C569" s="3">
        <v>811</v>
      </c>
      <c r="D569" s="3">
        <v>60.9</v>
      </c>
      <c r="E569" s="3" t="str">
        <f>LOOKUP(C569,$G$2:$G$7,$H$2:$H$7)</f>
        <v>750+</v>
      </c>
    </row>
    <row r="570" spans="1:5" x14ac:dyDescent="0.3">
      <c r="A570" s="3" t="s">
        <v>1068</v>
      </c>
      <c r="B570" s="3">
        <v>0</v>
      </c>
      <c r="C570" s="3">
        <v>619</v>
      </c>
      <c r="D570" s="3">
        <v>38.700000000000003</v>
      </c>
      <c r="E570" s="3" t="str">
        <f>LOOKUP(C570,$G$2:$G$7,$H$2:$H$7)</f>
        <v>600-649</v>
      </c>
    </row>
    <row r="571" spans="1:5" x14ac:dyDescent="0.3">
      <c r="A571" s="3" t="s">
        <v>1070</v>
      </c>
      <c r="B571" s="3">
        <v>0</v>
      </c>
      <c r="C571" s="3">
        <v>829</v>
      </c>
      <c r="D571" s="3">
        <v>47.8</v>
      </c>
      <c r="E571" s="3" t="str">
        <f>LOOKUP(C571,$G$2:$G$7,$H$2:$H$7)</f>
        <v>750+</v>
      </c>
    </row>
    <row r="572" spans="1:5" x14ac:dyDescent="0.3">
      <c r="A572" s="3" t="s">
        <v>1072</v>
      </c>
      <c r="B572" s="3">
        <v>0</v>
      </c>
      <c r="C572" s="3">
        <v>845</v>
      </c>
      <c r="D572" s="3">
        <v>40</v>
      </c>
      <c r="E572" s="3" t="str">
        <f>LOOKUP(C572,$G$2:$G$7,$H$2:$H$7)</f>
        <v>750+</v>
      </c>
    </row>
    <row r="573" spans="1:5" x14ac:dyDescent="0.3">
      <c r="A573" s="3" t="s">
        <v>1074</v>
      </c>
      <c r="B573" s="3">
        <v>0</v>
      </c>
      <c r="C573" s="3">
        <v>715</v>
      </c>
      <c r="D573" s="3">
        <v>26.9</v>
      </c>
      <c r="E573" s="3" t="str">
        <f>LOOKUP(C573,$G$2:$G$7,$H$2:$H$7)</f>
        <v>700-749</v>
      </c>
    </row>
    <row r="574" spans="1:5" x14ac:dyDescent="0.3">
      <c r="A574" s="3" t="s">
        <v>1076</v>
      </c>
      <c r="B574" s="3">
        <v>0</v>
      </c>
      <c r="C574" s="3">
        <v>818</v>
      </c>
      <c r="D574" s="3">
        <v>34.799999999999997</v>
      </c>
      <c r="E574" s="3" t="str">
        <f>LOOKUP(C574,$G$2:$G$7,$H$2:$H$7)</f>
        <v>750+</v>
      </c>
    </row>
    <row r="575" spans="1:5" x14ac:dyDescent="0.3">
      <c r="A575" s="3" t="s">
        <v>1078</v>
      </c>
      <c r="B575" s="3">
        <v>0</v>
      </c>
      <c r="C575" s="3">
        <v>805</v>
      </c>
      <c r="D575" s="3">
        <v>39.1</v>
      </c>
      <c r="E575" s="3" t="str">
        <f>LOOKUP(C575,$G$2:$G$7,$H$2:$H$7)</f>
        <v>750+</v>
      </c>
    </row>
    <row r="576" spans="1:5" x14ac:dyDescent="0.3">
      <c r="A576" s="3" t="s">
        <v>1080</v>
      </c>
      <c r="B576" s="3">
        <v>0</v>
      </c>
      <c r="C576" s="3">
        <v>609</v>
      </c>
      <c r="D576" s="3">
        <v>43</v>
      </c>
      <c r="E576" s="3" t="str">
        <f>LOOKUP(C576,$G$2:$G$7,$H$2:$H$7)</f>
        <v>600-649</v>
      </c>
    </row>
    <row r="577" spans="1:5" x14ac:dyDescent="0.3">
      <c r="A577" s="3" t="s">
        <v>1082</v>
      </c>
      <c r="B577" s="3">
        <v>1</v>
      </c>
      <c r="C577" s="3">
        <v>776</v>
      </c>
      <c r="D577" s="3">
        <v>55.8</v>
      </c>
      <c r="E577" s="3" t="str">
        <f>LOOKUP(C577,$G$2:$G$7,$H$2:$H$7)</f>
        <v>750+</v>
      </c>
    </row>
    <row r="578" spans="1:5" x14ac:dyDescent="0.3">
      <c r="A578" s="3" t="s">
        <v>1084</v>
      </c>
      <c r="B578" s="3">
        <v>0</v>
      </c>
      <c r="C578" s="3">
        <v>811</v>
      </c>
      <c r="D578" s="3">
        <v>12.1</v>
      </c>
      <c r="E578" s="3" t="str">
        <f>LOOKUP(C578,$G$2:$G$7,$H$2:$H$7)</f>
        <v>750+</v>
      </c>
    </row>
    <row r="579" spans="1:5" x14ac:dyDescent="0.3">
      <c r="A579" s="3" t="s">
        <v>1086</v>
      </c>
      <c r="B579" s="3">
        <v>0</v>
      </c>
      <c r="C579" s="3">
        <v>736</v>
      </c>
      <c r="D579" s="3">
        <v>12.6</v>
      </c>
      <c r="E579" s="3" t="str">
        <f>LOOKUP(C579,$G$2:$G$7,$H$2:$H$7)</f>
        <v>700-749</v>
      </c>
    </row>
    <row r="580" spans="1:5" x14ac:dyDescent="0.3">
      <c r="A580" s="3" t="s">
        <v>1088</v>
      </c>
      <c r="B580" s="3">
        <v>0</v>
      </c>
      <c r="C580" s="3">
        <v>637</v>
      </c>
      <c r="D580" s="3">
        <v>54.1</v>
      </c>
      <c r="E580" s="3" t="str">
        <f>LOOKUP(C580,$G$2:$G$7,$H$2:$H$7)</f>
        <v>600-649</v>
      </c>
    </row>
    <row r="581" spans="1:5" x14ac:dyDescent="0.3">
      <c r="A581" s="3" t="s">
        <v>1090</v>
      </c>
      <c r="B581" s="3">
        <v>0</v>
      </c>
      <c r="C581" s="3">
        <v>848</v>
      </c>
      <c r="D581" s="3">
        <v>66.900000000000006</v>
      </c>
      <c r="E581" s="3" t="str">
        <f>LOOKUP(C581,$G$2:$G$7,$H$2:$H$7)</f>
        <v>750+</v>
      </c>
    </row>
    <row r="582" spans="1:5" x14ac:dyDescent="0.3">
      <c r="A582" s="3" t="s">
        <v>1090</v>
      </c>
      <c r="B582" s="3">
        <v>0</v>
      </c>
      <c r="C582" s="3">
        <v>848</v>
      </c>
      <c r="D582" s="3">
        <v>27.3</v>
      </c>
      <c r="E582" s="3" t="str">
        <f>LOOKUP(C582,$G$2:$G$7,$H$2:$H$7)</f>
        <v>750+</v>
      </c>
    </row>
    <row r="583" spans="1:5" x14ac:dyDescent="0.3">
      <c r="A583" s="3" t="s">
        <v>1093</v>
      </c>
      <c r="B583" s="3">
        <v>0</v>
      </c>
      <c r="C583" s="3">
        <v>827</v>
      </c>
      <c r="D583" s="3">
        <v>22.9</v>
      </c>
      <c r="E583" s="3" t="str">
        <f>LOOKUP(C583,$G$2:$G$7,$H$2:$H$7)</f>
        <v>750+</v>
      </c>
    </row>
    <row r="584" spans="1:5" x14ac:dyDescent="0.3">
      <c r="A584" s="3" t="s">
        <v>1095</v>
      </c>
      <c r="B584" s="3">
        <v>0</v>
      </c>
      <c r="C584" s="3">
        <v>635</v>
      </c>
      <c r="D584" s="3">
        <v>60.1</v>
      </c>
      <c r="E584" s="3" t="str">
        <f>LOOKUP(C584,$G$2:$G$7,$H$2:$H$7)</f>
        <v>600-649</v>
      </c>
    </row>
    <row r="585" spans="1:5" x14ac:dyDescent="0.3">
      <c r="A585" s="3" t="s">
        <v>1097</v>
      </c>
      <c r="B585" s="3">
        <v>0</v>
      </c>
      <c r="C585" s="3">
        <v>850</v>
      </c>
      <c r="D585" s="3">
        <v>22.5</v>
      </c>
      <c r="E585" s="3" t="str">
        <f>LOOKUP(C585,$G$2:$G$7,$H$2:$H$7)</f>
        <v>750+</v>
      </c>
    </row>
    <row r="586" spans="1:5" x14ac:dyDescent="0.3">
      <c r="A586" s="3" t="s">
        <v>1097</v>
      </c>
      <c r="B586" s="3">
        <v>0</v>
      </c>
      <c r="C586" s="3">
        <v>850</v>
      </c>
      <c r="D586" s="3">
        <v>32.700000000000003</v>
      </c>
      <c r="E586" s="3" t="str">
        <f>LOOKUP(C586,$G$2:$G$7,$H$2:$H$7)</f>
        <v>750+</v>
      </c>
    </row>
    <row r="587" spans="1:5" x14ac:dyDescent="0.3">
      <c r="A587" s="3" t="s">
        <v>1100</v>
      </c>
      <c r="B587" s="3">
        <v>0</v>
      </c>
      <c r="C587" s="3">
        <v>618</v>
      </c>
      <c r="D587" s="3">
        <v>47.4</v>
      </c>
      <c r="E587" s="3" t="str">
        <f>LOOKUP(C587,$G$2:$G$7,$H$2:$H$7)</f>
        <v>600-649</v>
      </c>
    </row>
    <row r="588" spans="1:5" x14ac:dyDescent="0.3">
      <c r="A588" s="3" t="s">
        <v>1100</v>
      </c>
      <c r="B588" s="3">
        <v>0</v>
      </c>
      <c r="C588" s="3">
        <v>618</v>
      </c>
      <c r="D588" s="3">
        <v>40.5</v>
      </c>
      <c r="E588" s="3" t="str">
        <f>LOOKUP(C588,$G$2:$G$7,$H$2:$H$7)</f>
        <v>600-649</v>
      </c>
    </row>
    <row r="589" spans="1:5" x14ac:dyDescent="0.3">
      <c r="A589" s="3" t="s">
        <v>1103</v>
      </c>
      <c r="B589" s="3">
        <v>0</v>
      </c>
      <c r="C589" s="3">
        <v>825</v>
      </c>
      <c r="D589" s="3">
        <v>23.2</v>
      </c>
      <c r="E589" s="3" t="str">
        <f>LOOKUP(C589,$G$2:$G$7,$H$2:$H$7)</f>
        <v>750+</v>
      </c>
    </row>
    <row r="590" spans="1:5" x14ac:dyDescent="0.3">
      <c r="A590" s="3" t="s">
        <v>1105</v>
      </c>
      <c r="B590" s="3">
        <v>1</v>
      </c>
      <c r="C590" s="3">
        <v>825</v>
      </c>
      <c r="D590" s="3">
        <v>72.7</v>
      </c>
      <c r="E590" s="3" t="str">
        <f>LOOKUP(C590,$G$2:$G$7,$H$2:$H$7)</f>
        <v>750+</v>
      </c>
    </row>
    <row r="591" spans="1:5" x14ac:dyDescent="0.3">
      <c r="A591" s="3" t="s">
        <v>1107</v>
      </c>
      <c r="B591" s="3">
        <v>0</v>
      </c>
      <c r="C591" s="3">
        <v>849</v>
      </c>
      <c r="D591" s="3">
        <v>40</v>
      </c>
      <c r="E591" s="3" t="str">
        <f>LOOKUP(C591,$G$2:$G$7,$H$2:$H$7)</f>
        <v>750+</v>
      </c>
    </row>
    <row r="592" spans="1:5" x14ac:dyDescent="0.3">
      <c r="A592" s="3" t="s">
        <v>1109</v>
      </c>
      <c r="B592" s="3">
        <v>1</v>
      </c>
      <c r="C592" s="3">
        <v>561</v>
      </c>
      <c r="D592" s="3">
        <v>49.4</v>
      </c>
      <c r="E592" s="3" t="str">
        <f>LOOKUP(C592,$G$2:$G$7,$H$2:$H$7)</f>
        <v>520-599</v>
      </c>
    </row>
    <row r="593" spans="1:5" x14ac:dyDescent="0.3">
      <c r="A593" s="3" t="s">
        <v>1111</v>
      </c>
      <c r="B593" s="3">
        <v>0</v>
      </c>
      <c r="C593" s="3">
        <v>752</v>
      </c>
      <c r="D593" s="3">
        <v>38.700000000000003</v>
      </c>
      <c r="E593" s="3" t="str">
        <f>LOOKUP(C593,$G$2:$G$7,$H$2:$H$7)</f>
        <v>750+</v>
      </c>
    </row>
    <row r="594" spans="1:5" x14ac:dyDescent="0.3">
      <c r="A594" s="3" t="s">
        <v>1113</v>
      </c>
      <c r="B594" s="3">
        <v>0</v>
      </c>
      <c r="C594" s="3">
        <v>663</v>
      </c>
      <c r="D594" s="3">
        <v>30.8</v>
      </c>
      <c r="E594" s="3" t="str">
        <f>LOOKUP(C594,$G$2:$G$7,$H$2:$H$7)</f>
        <v>650-699</v>
      </c>
    </row>
    <row r="595" spans="1:5" x14ac:dyDescent="0.3">
      <c r="A595" s="3" t="s">
        <v>1115</v>
      </c>
      <c r="B595" s="3">
        <v>1</v>
      </c>
      <c r="C595" s="3">
        <v>543</v>
      </c>
      <c r="D595" s="3">
        <v>52.7</v>
      </c>
      <c r="E595" s="3" t="str">
        <f>LOOKUP(C595,$G$2:$G$7,$H$2:$H$7)</f>
        <v>520-599</v>
      </c>
    </row>
    <row r="596" spans="1:5" x14ac:dyDescent="0.3">
      <c r="A596" s="3" t="s">
        <v>1117</v>
      </c>
      <c r="B596" s="3">
        <v>0</v>
      </c>
      <c r="C596" s="3">
        <v>661</v>
      </c>
      <c r="D596" s="3">
        <v>69.7</v>
      </c>
      <c r="E596" s="3" t="str">
        <f>LOOKUP(C596,$G$2:$G$7,$H$2:$H$7)</f>
        <v>650-699</v>
      </c>
    </row>
    <row r="597" spans="1:5" x14ac:dyDescent="0.3">
      <c r="A597" s="3" t="s">
        <v>1119</v>
      </c>
      <c r="B597" s="3">
        <v>0</v>
      </c>
      <c r="C597" s="3">
        <v>773</v>
      </c>
      <c r="D597" s="3">
        <v>55</v>
      </c>
      <c r="E597" s="3" t="str">
        <f>LOOKUP(C597,$G$2:$G$7,$H$2:$H$7)</f>
        <v>750+</v>
      </c>
    </row>
    <row r="598" spans="1:5" x14ac:dyDescent="0.3">
      <c r="A598" s="3" t="s">
        <v>1119</v>
      </c>
      <c r="B598" s="3">
        <v>1</v>
      </c>
      <c r="C598" s="3">
        <v>773</v>
      </c>
      <c r="D598" s="3">
        <v>52.3</v>
      </c>
      <c r="E598" s="3" t="str">
        <f>LOOKUP(C598,$G$2:$G$7,$H$2:$H$7)</f>
        <v>750+</v>
      </c>
    </row>
    <row r="599" spans="1:5" x14ac:dyDescent="0.3">
      <c r="A599" s="3" t="s">
        <v>1122</v>
      </c>
      <c r="B599" s="3">
        <v>0</v>
      </c>
      <c r="C599" s="3">
        <v>845</v>
      </c>
      <c r="D599" s="3">
        <v>32.4</v>
      </c>
      <c r="E599" s="3" t="str">
        <f>LOOKUP(C599,$G$2:$G$7,$H$2:$H$7)</f>
        <v>750+</v>
      </c>
    </row>
    <row r="600" spans="1:5" x14ac:dyDescent="0.3">
      <c r="A600" s="3" t="s">
        <v>1124</v>
      </c>
      <c r="B600" s="3">
        <v>0</v>
      </c>
      <c r="C600" s="3">
        <v>811</v>
      </c>
      <c r="D600" s="3">
        <v>28.8</v>
      </c>
      <c r="E600" s="3" t="str">
        <f>LOOKUP(C600,$G$2:$G$7,$H$2:$H$7)</f>
        <v>750+</v>
      </c>
    </row>
    <row r="601" spans="1:5" x14ac:dyDescent="0.3">
      <c r="A601" s="3" t="s">
        <v>1126</v>
      </c>
      <c r="B601" s="3">
        <v>0</v>
      </c>
      <c r="C601" s="3">
        <v>604</v>
      </c>
      <c r="D601" s="3">
        <v>73.2</v>
      </c>
      <c r="E601" s="3" t="str">
        <f>LOOKUP(C601,$G$2:$G$7,$H$2:$H$7)</f>
        <v>600-649</v>
      </c>
    </row>
    <row r="602" spans="1:5" x14ac:dyDescent="0.3">
      <c r="A602" s="3" t="s">
        <v>1126</v>
      </c>
      <c r="B602" s="3">
        <v>0</v>
      </c>
      <c r="C602" s="3">
        <v>604</v>
      </c>
      <c r="D602" s="3">
        <v>62.9</v>
      </c>
      <c r="E602" s="3" t="str">
        <f>LOOKUP(C602,$G$2:$G$7,$H$2:$H$7)</f>
        <v>600-649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2F4B-EC3D-464A-A005-C6539BD531B0}">
  <dimension ref="A1:M602"/>
  <sheetViews>
    <sheetView workbookViewId="0">
      <selection activeCell="M1" sqref="M1"/>
    </sheetView>
  </sheetViews>
  <sheetFormatPr defaultRowHeight="14.4" x14ac:dyDescent="0.3"/>
  <cols>
    <col min="2" max="2" width="10.5546875" bestFit="1" customWidth="1"/>
    <col min="3" max="3" width="14.33203125" bestFit="1" customWidth="1"/>
    <col min="4" max="4" width="16.88671875" bestFit="1" customWidth="1"/>
    <col min="5" max="5" width="11.33203125" bestFit="1" customWidth="1"/>
    <col min="6" max="6" width="11.5546875" bestFit="1" customWidth="1"/>
    <col min="7" max="7" width="11.109375" bestFit="1" customWidth="1"/>
    <col min="8" max="8" width="15.109375" bestFit="1" customWidth="1"/>
    <col min="9" max="9" width="7.44140625" bestFit="1" customWidth="1"/>
    <col min="10" max="10" width="10.109375" bestFit="1" customWidth="1"/>
    <col min="11" max="11" width="14" bestFit="1" customWidth="1"/>
    <col min="12" max="12" width="8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12</v>
      </c>
      <c r="H1" t="s">
        <v>5</v>
      </c>
      <c r="I1" t="s">
        <v>10</v>
      </c>
      <c r="J1" t="s">
        <v>6</v>
      </c>
      <c r="K1" t="s">
        <v>7</v>
      </c>
      <c r="L1" t="s">
        <v>8</v>
      </c>
      <c r="M1" t="s">
        <v>1137</v>
      </c>
    </row>
    <row r="2" spans="1:13" x14ac:dyDescent="0.3">
      <c r="A2" t="s">
        <v>13</v>
      </c>
      <c r="B2" t="s">
        <v>14</v>
      </c>
      <c r="C2" s="1">
        <v>45299</v>
      </c>
      <c r="D2" t="s">
        <v>15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16</v>
      </c>
      <c r="K2">
        <v>0</v>
      </c>
      <c r="L2">
        <v>0</v>
      </c>
    </row>
    <row r="3" spans="1:13" x14ac:dyDescent="0.3">
      <c r="A3" t="s">
        <v>17</v>
      </c>
      <c r="B3" t="s">
        <v>14</v>
      </c>
      <c r="C3" s="1">
        <v>45517</v>
      </c>
      <c r="D3" t="s">
        <v>18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19</v>
      </c>
      <c r="K3">
        <v>138</v>
      </c>
      <c r="L3">
        <v>1</v>
      </c>
    </row>
    <row r="4" spans="1:13" x14ac:dyDescent="0.3">
      <c r="A4" t="s">
        <v>20</v>
      </c>
      <c r="B4" t="s">
        <v>21</v>
      </c>
      <c r="C4" s="1">
        <v>45836</v>
      </c>
      <c r="D4" t="s">
        <v>22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16</v>
      </c>
      <c r="K4">
        <v>0</v>
      </c>
      <c r="L4">
        <v>0</v>
      </c>
    </row>
    <row r="5" spans="1:13" x14ac:dyDescent="0.3">
      <c r="A5" t="s">
        <v>23</v>
      </c>
      <c r="B5" t="s">
        <v>24</v>
      </c>
      <c r="C5" s="1">
        <v>45795</v>
      </c>
      <c r="D5" t="s">
        <v>25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19</v>
      </c>
      <c r="K5">
        <v>34</v>
      </c>
      <c r="L5">
        <v>1</v>
      </c>
    </row>
    <row r="6" spans="1:13" x14ac:dyDescent="0.3">
      <c r="A6" t="s">
        <v>26</v>
      </c>
      <c r="B6" t="s">
        <v>27</v>
      </c>
      <c r="C6" s="1">
        <v>45740</v>
      </c>
      <c r="D6" t="s">
        <v>22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28</v>
      </c>
      <c r="K6">
        <v>0</v>
      </c>
      <c r="L6">
        <v>0</v>
      </c>
    </row>
    <row r="7" spans="1:13" x14ac:dyDescent="0.3">
      <c r="A7" t="s">
        <v>29</v>
      </c>
      <c r="B7" t="s">
        <v>30</v>
      </c>
      <c r="C7" s="1">
        <v>45766</v>
      </c>
      <c r="D7" t="s">
        <v>31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28</v>
      </c>
      <c r="K7">
        <v>0</v>
      </c>
      <c r="L7">
        <v>0</v>
      </c>
    </row>
    <row r="8" spans="1:13" x14ac:dyDescent="0.3">
      <c r="A8" t="s">
        <v>32</v>
      </c>
      <c r="B8" t="s">
        <v>33</v>
      </c>
      <c r="C8" s="1">
        <v>45477</v>
      </c>
      <c r="D8" t="s">
        <v>34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16</v>
      </c>
      <c r="K8">
        <v>0</v>
      </c>
      <c r="L8">
        <v>0</v>
      </c>
    </row>
    <row r="9" spans="1:13" x14ac:dyDescent="0.3">
      <c r="A9" t="s">
        <v>35</v>
      </c>
      <c r="B9" t="s">
        <v>36</v>
      </c>
      <c r="C9" s="1">
        <v>45745</v>
      </c>
      <c r="D9" t="s">
        <v>37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19</v>
      </c>
      <c r="K9">
        <v>38</v>
      </c>
      <c r="L9">
        <v>1</v>
      </c>
    </row>
    <row r="10" spans="1:13" x14ac:dyDescent="0.3">
      <c r="A10" t="s">
        <v>38</v>
      </c>
      <c r="B10" t="s">
        <v>36</v>
      </c>
      <c r="C10" s="1">
        <v>45505</v>
      </c>
      <c r="D10" t="s">
        <v>39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28</v>
      </c>
      <c r="K10">
        <v>0</v>
      </c>
      <c r="L10">
        <v>0</v>
      </c>
    </row>
    <row r="11" spans="1:13" x14ac:dyDescent="0.3">
      <c r="A11" t="s">
        <v>40</v>
      </c>
      <c r="B11" t="s">
        <v>41</v>
      </c>
      <c r="C11" s="1">
        <v>45597</v>
      </c>
      <c r="D11" t="s">
        <v>42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19</v>
      </c>
      <c r="K11">
        <v>43</v>
      </c>
      <c r="L11">
        <v>1</v>
      </c>
    </row>
    <row r="12" spans="1:13" x14ac:dyDescent="0.3">
      <c r="A12" t="s">
        <v>43</v>
      </c>
      <c r="B12" t="s">
        <v>44</v>
      </c>
      <c r="C12" s="1">
        <v>45463</v>
      </c>
      <c r="D12" t="s">
        <v>39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28</v>
      </c>
      <c r="K12">
        <v>0</v>
      </c>
      <c r="L12">
        <v>0</v>
      </c>
    </row>
    <row r="13" spans="1:13" x14ac:dyDescent="0.3">
      <c r="A13" t="s">
        <v>45</v>
      </c>
      <c r="B13" t="s">
        <v>44</v>
      </c>
      <c r="C13" s="1">
        <v>45450</v>
      </c>
      <c r="D13" t="s">
        <v>39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28</v>
      </c>
      <c r="K13">
        <v>0</v>
      </c>
      <c r="L13">
        <v>0</v>
      </c>
    </row>
    <row r="14" spans="1:13" x14ac:dyDescent="0.3">
      <c r="A14" t="s">
        <v>46</v>
      </c>
      <c r="B14" t="s">
        <v>47</v>
      </c>
      <c r="C14" s="1">
        <v>45449</v>
      </c>
      <c r="D14" t="s">
        <v>48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28</v>
      </c>
      <c r="K14">
        <v>0</v>
      </c>
      <c r="L14">
        <v>0</v>
      </c>
    </row>
    <row r="15" spans="1:13" x14ac:dyDescent="0.3">
      <c r="A15" t="s">
        <v>49</v>
      </c>
      <c r="B15" t="s">
        <v>50</v>
      </c>
      <c r="C15" s="1">
        <v>45313</v>
      </c>
      <c r="D15" t="s">
        <v>22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28</v>
      </c>
      <c r="K15">
        <v>0</v>
      </c>
      <c r="L15">
        <v>0</v>
      </c>
    </row>
    <row r="16" spans="1:13" x14ac:dyDescent="0.3">
      <c r="A16" t="s">
        <v>51</v>
      </c>
      <c r="B16" t="s">
        <v>52</v>
      </c>
      <c r="C16" s="1">
        <v>45486</v>
      </c>
      <c r="D16" t="s">
        <v>15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28</v>
      </c>
      <c r="K16">
        <v>0</v>
      </c>
      <c r="L16">
        <v>0</v>
      </c>
    </row>
    <row r="17" spans="1:12" x14ac:dyDescent="0.3">
      <c r="A17" t="s">
        <v>53</v>
      </c>
      <c r="B17" t="s">
        <v>52</v>
      </c>
      <c r="C17" s="1">
        <v>45835</v>
      </c>
      <c r="D17" t="s">
        <v>15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19</v>
      </c>
      <c r="K17">
        <v>105</v>
      </c>
      <c r="L17">
        <v>1</v>
      </c>
    </row>
    <row r="18" spans="1:12" x14ac:dyDescent="0.3">
      <c r="A18" t="s">
        <v>54</v>
      </c>
      <c r="B18" t="s">
        <v>55</v>
      </c>
      <c r="C18" s="1">
        <v>45481</v>
      </c>
      <c r="D18" t="s">
        <v>22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28</v>
      </c>
      <c r="K18">
        <v>0</v>
      </c>
      <c r="L18">
        <v>0</v>
      </c>
    </row>
    <row r="19" spans="1:12" x14ac:dyDescent="0.3">
      <c r="A19" t="s">
        <v>56</v>
      </c>
      <c r="B19" t="s">
        <v>55</v>
      </c>
      <c r="C19" s="1">
        <v>45486</v>
      </c>
      <c r="D19" t="s">
        <v>48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28</v>
      </c>
      <c r="K19">
        <v>0</v>
      </c>
      <c r="L19">
        <v>0</v>
      </c>
    </row>
    <row r="20" spans="1:12" x14ac:dyDescent="0.3">
      <c r="A20" t="s">
        <v>57</v>
      </c>
      <c r="B20" t="s">
        <v>58</v>
      </c>
      <c r="C20" s="1">
        <v>45360</v>
      </c>
      <c r="D20" t="s">
        <v>31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19</v>
      </c>
      <c r="K20">
        <v>63</v>
      </c>
      <c r="L20">
        <v>1</v>
      </c>
    </row>
    <row r="21" spans="1:12" x14ac:dyDescent="0.3">
      <c r="A21" t="s">
        <v>59</v>
      </c>
      <c r="B21" t="s">
        <v>60</v>
      </c>
      <c r="C21" s="1">
        <v>45689</v>
      </c>
      <c r="D21" t="s">
        <v>42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16</v>
      </c>
      <c r="K21">
        <v>0</v>
      </c>
      <c r="L21">
        <v>0</v>
      </c>
    </row>
    <row r="22" spans="1:12" x14ac:dyDescent="0.3">
      <c r="A22" t="s">
        <v>61</v>
      </c>
      <c r="B22" t="s">
        <v>62</v>
      </c>
      <c r="C22" s="1">
        <v>45505</v>
      </c>
      <c r="D22" t="s">
        <v>31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63</v>
      </c>
      <c r="K22">
        <v>15</v>
      </c>
      <c r="L22">
        <v>0</v>
      </c>
    </row>
    <row r="23" spans="1:12" x14ac:dyDescent="0.3">
      <c r="A23" t="s">
        <v>64</v>
      </c>
      <c r="B23" t="s">
        <v>65</v>
      </c>
      <c r="C23" s="1">
        <v>45351</v>
      </c>
      <c r="D23" t="s">
        <v>42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28</v>
      </c>
      <c r="K23">
        <v>0</v>
      </c>
      <c r="L23">
        <v>0</v>
      </c>
    </row>
    <row r="24" spans="1:12" x14ac:dyDescent="0.3">
      <c r="A24" t="s">
        <v>66</v>
      </c>
      <c r="B24" t="s">
        <v>67</v>
      </c>
      <c r="C24" s="1">
        <v>45528</v>
      </c>
      <c r="D24" t="s">
        <v>25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28</v>
      </c>
      <c r="K24">
        <v>0</v>
      </c>
      <c r="L24">
        <v>0</v>
      </c>
    </row>
    <row r="25" spans="1:12" x14ac:dyDescent="0.3">
      <c r="A25" t="s">
        <v>68</v>
      </c>
      <c r="B25" t="s">
        <v>69</v>
      </c>
      <c r="C25" s="1">
        <v>45658</v>
      </c>
      <c r="D25" t="s">
        <v>34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28</v>
      </c>
      <c r="K25">
        <v>0</v>
      </c>
      <c r="L25">
        <v>0</v>
      </c>
    </row>
    <row r="26" spans="1:12" x14ac:dyDescent="0.3">
      <c r="A26" t="s">
        <v>70</v>
      </c>
      <c r="B26" t="s">
        <v>71</v>
      </c>
      <c r="C26" s="1">
        <v>45745</v>
      </c>
      <c r="D26" t="s">
        <v>34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63</v>
      </c>
      <c r="K26">
        <v>15</v>
      </c>
      <c r="L26">
        <v>0</v>
      </c>
    </row>
    <row r="27" spans="1:12" x14ac:dyDescent="0.3">
      <c r="A27" t="s">
        <v>72</v>
      </c>
      <c r="B27" t="s">
        <v>73</v>
      </c>
      <c r="C27" s="1">
        <v>45511</v>
      </c>
      <c r="D27" t="s">
        <v>31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19</v>
      </c>
      <c r="K27">
        <v>170</v>
      </c>
      <c r="L27">
        <v>1</v>
      </c>
    </row>
    <row r="28" spans="1:12" x14ac:dyDescent="0.3">
      <c r="A28" t="s">
        <v>74</v>
      </c>
      <c r="B28" t="s">
        <v>73</v>
      </c>
      <c r="C28" s="1">
        <v>45327</v>
      </c>
      <c r="D28" t="s">
        <v>25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28</v>
      </c>
      <c r="K28">
        <v>0</v>
      </c>
      <c r="L28">
        <v>0</v>
      </c>
    </row>
    <row r="29" spans="1:12" x14ac:dyDescent="0.3">
      <c r="A29" t="s">
        <v>75</v>
      </c>
      <c r="B29" t="s">
        <v>76</v>
      </c>
      <c r="C29" s="1">
        <v>45314</v>
      </c>
      <c r="D29" t="s">
        <v>25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63</v>
      </c>
      <c r="K29">
        <v>15</v>
      </c>
      <c r="L29">
        <v>0</v>
      </c>
    </row>
    <row r="30" spans="1:12" x14ac:dyDescent="0.3">
      <c r="A30" t="s">
        <v>77</v>
      </c>
      <c r="B30" t="s">
        <v>76</v>
      </c>
      <c r="C30" s="1">
        <v>45330</v>
      </c>
      <c r="D30" t="s">
        <v>22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28</v>
      </c>
      <c r="K30">
        <v>0</v>
      </c>
      <c r="L30">
        <v>0</v>
      </c>
    </row>
    <row r="31" spans="1:12" x14ac:dyDescent="0.3">
      <c r="A31" t="s">
        <v>78</v>
      </c>
      <c r="B31" t="s">
        <v>79</v>
      </c>
      <c r="C31" s="1">
        <v>45514</v>
      </c>
      <c r="D31" t="s">
        <v>39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16</v>
      </c>
      <c r="K31">
        <v>0</v>
      </c>
      <c r="L31">
        <v>0</v>
      </c>
    </row>
    <row r="32" spans="1:12" x14ac:dyDescent="0.3">
      <c r="A32" t="s">
        <v>80</v>
      </c>
      <c r="B32" t="s">
        <v>79</v>
      </c>
      <c r="C32" s="1">
        <v>45389</v>
      </c>
      <c r="D32" t="s">
        <v>34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16</v>
      </c>
      <c r="K32">
        <v>0</v>
      </c>
      <c r="L32">
        <v>0</v>
      </c>
    </row>
    <row r="33" spans="1:12" x14ac:dyDescent="0.3">
      <c r="A33" t="s">
        <v>81</v>
      </c>
      <c r="B33" t="s">
        <v>82</v>
      </c>
      <c r="C33" s="1">
        <v>45736</v>
      </c>
      <c r="D33" t="s">
        <v>37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63</v>
      </c>
      <c r="K33">
        <v>15</v>
      </c>
      <c r="L33">
        <v>0</v>
      </c>
    </row>
    <row r="34" spans="1:12" x14ac:dyDescent="0.3">
      <c r="A34" t="s">
        <v>83</v>
      </c>
      <c r="B34" t="s">
        <v>84</v>
      </c>
      <c r="C34" s="1">
        <v>45828</v>
      </c>
      <c r="D34" t="s">
        <v>48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19</v>
      </c>
      <c r="K34">
        <v>168</v>
      </c>
      <c r="L34">
        <v>1</v>
      </c>
    </row>
    <row r="35" spans="1:12" x14ac:dyDescent="0.3">
      <c r="A35" t="s">
        <v>85</v>
      </c>
      <c r="B35" t="s">
        <v>86</v>
      </c>
      <c r="C35" s="1">
        <v>45694</v>
      </c>
      <c r="D35" t="s">
        <v>31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28</v>
      </c>
      <c r="K35">
        <v>0</v>
      </c>
      <c r="L35">
        <v>0</v>
      </c>
    </row>
    <row r="36" spans="1:12" x14ac:dyDescent="0.3">
      <c r="A36" t="s">
        <v>87</v>
      </c>
      <c r="B36" t="s">
        <v>88</v>
      </c>
      <c r="C36" s="1">
        <v>45779</v>
      </c>
      <c r="D36" t="s">
        <v>18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28</v>
      </c>
      <c r="K36">
        <v>0</v>
      </c>
      <c r="L36">
        <v>0</v>
      </c>
    </row>
    <row r="37" spans="1:12" x14ac:dyDescent="0.3">
      <c r="A37" t="s">
        <v>89</v>
      </c>
      <c r="B37" t="s">
        <v>90</v>
      </c>
      <c r="C37" s="1">
        <v>45494</v>
      </c>
      <c r="D37" t="s">
        <v>22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28</v>
      </c>
      <c r="K37">
        <v>0</v>
      </c>
      <c r="L37">
        <v>0</v>
      </c>
    </row>
    <row r="38" spans="1:12" x14ac:dyDescent="0.3">
      <c r="A38" t="s">
        <v>91</v>
      </c>
      <c r="B38" t="s">
        <v>92</v>
      </c>
      <c r="C38" s="1">
        <v>45383</v>
      </c>
      <c r="D38" t="s">
        <v>22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19</v>
      </c>
      <c r="K38">
        <v>135</v>
      </c>
      <c r="L38">
        <v>1</v>
      </c>
    </row>
    <row r="39" spans="1:12" x14ac:dyDescent="0.3">
      <c r="A39" t="s">
        <v>93</v>
      </c>
      <c r="B39" t="s">
        <v>94</v>
      </c>
      <c r="C39" s="1">
        <v>45465</v>
      </c>
      <c r="D39" t="s">
        <v>31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16</v>
      </c>
      <c r="K39">
        <v>0</v>
      </c>
      <c r="L39">
        <v>0</v>
      </c>
    </row>
    <row r="40" spans="1:12" x14ac:dyDescent="0.3">
      <c r="A40" t="s">
        <v>95</v>
      </c>
      <c r="B40" t="s">
        <v>96</v>
      </c>
      <c r="C40" s="1">
        <v>45674</v>
      </c>
      <c r="D40" t="s">
        <v>34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28</v>
      </c>
      <c r="K40">
        <v>0</v>
      </c>
      <c r="L40">
        <v>0</v>
      </c>
    </row>
    <row r="41" spans="1:12" x14ac:dyDescent="0.3">
      <c r="A41" t="s">
        <v>97</v>
      </c>
      <c r="B41" t="s">
        <v>98</v>
      </c>
      <c r="C41" s="1">
        <v>45405</v>
      </c>
      <c r="D41" t="s">
        <v>39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28</v>
      </c>
      <c r="K41">
        <v>0</v>
      </c>
      <c r="L41">
        <v>0</v>
      </c>
    </row>
    <row r="42" spans="1:12" x14ac:dyDescent="0.3">
      <c r="A42" t="s">
        <v>99</v>
      </c>
      <c r="B42" t="s">
        <v>100</v>
      </c>
      <c r="C42" s="1">
        <v>45436</v>
      </c>
      <c r="D42" t="s">
        <v>39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28</v>
      </c>
      <c r="K42">
        <v>0</v>
      </c>
      <c r="L42">
        <v>0</v>
      </c>
    </row>
    <row r="43" spans="1:12" x14ac:dyDescent="0.3">
      <c r="A43" t="s">
        <v>101</v>
      </c>
      <c r="B43" t="s">
        <v>102</v>
      </c>
      <c r="C43" s="1">
        <v>45569</v>
      </c>
      <c r="D43" t="s">
        <v>22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19</v>
      </c>
      <c r="K43">
        <v>32</v>
      </c>
      <c r="L43">
        <v>1</v>
      </c>
    </row>
    <row r="44" spans="1:12" x14ac:dyDescent="0.3">
      <c r="A44" t="s">
        <v>103</v>
      </c>
      <c r="B44" t="s">
        <v>102</v>
      </c>
      <c r="C44" s="1">
        <v>45311</v>
      </c>
      <c r="D44" t="s">
        <v>37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63</v>
      </c>
      <c r="K44">
        <v>15</v>
      </c>
      <c r="L44">
        <v>0</v>
      </c>
    </row>
    <row r="45" spans="1:12" x14ac:dyDescent="0.3">
      <c r="A45" t="s">
        <v>104</v>
      </c>
      <c r="B45" t="s">
        <v>105</v>
      </c>
      <c r="C45" s="1">
        <v>45836</v>
      </c>
      <c r="D45" t="s">
        <v>22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19</v>
      </c>
      <c r="K45">
        <v>80</v>
      </c>
      <c r="L45">
        <v>1</v>
      </c>
    </row>
    <row r="46" spans="1:12" x14ac:dyDescent="0.3">
      <c r="A46" t="s">
        <v>106</v>
      </c>
      <c r="B46" t="s">
        <v>105</v>
      </c>
      <c r="C46" s="1">
        <v>45834</v>
      </c>
      <c r="D46" t="s">
        <v>22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19</v>
      </c>
      <c r="K46">
        <v>155</v>
      </c>
      <c r="L46">
        <v>1</v>
      </c>
    </row>
    <row r="47" spans="1:12" x14ac:dyDescent="0.3">
      <c r="A47" t="s">
        <v>107</v>
      </c>
      <c r="B47" t="s">
        <v>108</v>
      </c>
      <c r="C47" s="1">
        <v>45533</v>
      </c>
      <c r="D47" t="s">
        <v>34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63</v>
      </c>
      <c r="K47">
        <v>30</v>
      </c>
      <c r="L47">
        <v>0</v>
      </c>
    </row>
    <row r="48" spans="1:12" x14ac:dyDescent="0.3">
      <c r="A48" t="s">
        <v>109</v>
      </c>
      <c r="B48" t="s">
        <v>110</v>
      </c>
      <c r="C48" s="1">
        <v>45578</v>
      </c>
      <c r="D48" t="s">
        <v>25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19</v>
      </c>
      <c r="K48">
        <v>117</v>
      </c>
      <c r="L48">
        <v>1</v>
      </c>
    </row>
    <row r="49" spans="1:12" x14ac:dyDescent="0.3">
      <c r="A49" t="s">
        <v>111</v>
      </c>
      <c r="B49" t="s">
        <v>112</v>
      </c>
      <c r="C49" s="1">
        <v>45524</v>
      </c>
      <c r="D49" t="s">
        <v>34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28</v>
      </c>
      <c r="K49">
        <v>0</v>
      </c>
      <c r="L49">
        <v>0</v>
      </c>
    </row>
    <row r="50" spans="1:12" x14ac:dyDescent="0.3">
      <c r="A50" t="s">
        <v>113</v>
      </c>
      <c r="B50" t="s">
        <v>112</v>
      </c>
      <c r="C50" s="1">
        <v>45433</v>
      </c>
      <c r="D50" t="s">
        <v>25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28</v>
      </c>
      <c r="K50">
        <v>0</v>
      </c>
      <c r="L50">
        <v>0</v>
      </c>
    </row>
    <row r="51" spans="1:12" x14ac:dyDescent="0.3">
      <c r="A51" t="s">
        <v>114</v>
      </c>
      <c r="B51" t="s">
        <v>115</v>
      </c>
      <c r="C51" s="1">
        <v>45453</v>
      </c>
      <c r="D51" t="s">
        <v>22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16</v>
      </c>
      <c r="K51">
        <v>0</v>
      </c>
      <c r="L51">
        <v>0</v>
      </c>
    </row>
    <row r="52" spans="1:12" x14ac:dyDescent="0.3">
      <c r="A52" t="s">
        <v>116</v>
      </c>
      <c r="B52" t="s">
        <v>117</v>
      </c>
      <c r="C52" s="1">
        <v>45715</v>
      </c>
      <c r="D52" t="s">
        <v>31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16</v>
      </c>
      <c r="K52">
        <v>0</v>
      </c>
      <c r="L52">
        <v>0</v>
      </c>
    </row>
    <row r="53" spans="1:12" x14ac:dyDescent="0.3">
      <c r="A53" t="s">
        <v>118</v>
      </c>
      <c r="B53" t="s">
        <v>119</v>
      </c>
      <c r="C53" s="1">
        <v>45565</v>
      </c>
      <c r="D53" t="s">
        <v>25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28</v>
      </c>
      <c r="K53">
        <v>0</v>
      </c>
      <c r="L53">
        <v>0</v>
      </c>
    </row>
    <row r="54" spans="1:12" x14ac:dyDescent="0.3">
      <c r="A54" t="s">
        <v>120</v>
      </c>
      <c r="B54" t="s">
        <v>119</v>
      </c>
      <c r="C54" s="1">
        <v>45772</v>
      </c>
      <c r="D54" t="s">
        <v>39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16</v>
      </c>
      <c r="K54">
        <v>0</v>
      </c>
      <c r="L54">
        <v>0</v>
      </c>
    </row>
    <row r="55" spans="1:12" x14ac:dyDescent="0.3">
      <c r="A55" t="s">
        <v>121</v>
      </c>
      <c r="B55" t="s">
        <v>122</v>
      </c>
      <c r="C55" s="1">
        <v>45307</v>
      </c>
      <c r="D55" t="s">
        <v>34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63</v>
      </c>
      <c r="K55">
        <v>30</v>
      </c>
      <c r="L55">
        <v>0</v>
      </c>
    </row>
    <row r="56" spans="1:12" x14ac:dyDescent="0.3">
      <c r="A56" t="s">
        <v>123</v>
      </c>
      <c r="B56" t="s">
        <v>124</v>
      </c>
      <c r="C56" s="1">
        <v>45793</v>
      </c>
      <c r="D56" t="s">
        <v>39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63</v>
      </c>
      <c r="K56">
        <v>15</v>
      </c>
      <c r="L56">
        <v>0</v>
      </c>
    </row>
    <row r="57" spans="1:12" x14ac:dyDescent="0.3">
      <c r="A57" t="s">
        <v>125</v>
      </c>
      <c r="B57" t="s">
        <v>126</v>
      </c>
      <c r="C57" s="1">
        <v>45829</v>
      </c>
      <c r="D57" t="s">
        <v>42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28</v>
      </c>
      <c r="K57">
        <v>0</v>
      </c>
      <c r="L57">
        <v>0</v>
      </c>
    </row>
    <row r="58" spans="1:12" x14ac:dyDescent="0.3">
      <c r="A58" t="s">
        <v>127</v>
      </c>
      <c r="B58" t="s">
        <v>128</v>
      </c>
      <c r="C58" s="1">
        <v>45697</v>
      </c>
      <c r="D58" t="s">
        <v>15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28</v>
      </c>
      <c r="K58">
        <v>0</v>
      </c>
      <c r="L58">
        <v>0</v>
      </c>
    </row>
    <row r="59" spans="1:12" x14ac:dyDescent="0.3">
      <c r="A59" t="s">
        <v>129</v>
      </c>
      <c r="B59" t="s">
        <v>130</v>
      </c>
      <c r="C59" s="1">
        <v>45584</v>
      </c>
      <c r="D59" t="s">
        <v>42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63</v>
      </c>
      <c r="K59">
        <v>0</v>
      </c>
      <c r="L59">
        <v>0</v>
      </c>
    </row>
    <row r="60" spans="1:12" x14ac:dyDescent="0.3">
      <c r="A60" t="s">
        <v>131</v>
      </c>
      <c r="B60" t="s">
        <v>132</v>
      </c>
      <c r="C60" s="1">
        <v>45804</v>
      </c>
      <c r="D60" t="s">
        <v>22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16</v>
      </c>
      <c r="K60">
        <v>0</v>
      </c>
      <c r="L60">
        <v>0</v>
      </c>
    </row>
    <row r="61" spans="1:12" x14ac:dyDescent="0.3">
      <c r="A61" t="s">
        <v>133</v>
      </c>
      <c r="B61" t="s">
        <v>134</v>
      </c>
      <c r="C61" s="1">
        <v>45498</v>
      </c>
      <c r="D61" t="s">
        <v>34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28</v>
      </c>
      <c r="K61">
        <v>0</v>
      </c>
      <c r="L61">
        <v>0</v>
      </c>
    </row>
    <row r="62" spans="1:12" x14ac:dyDescent="0.3">
      <c r="A62" t="s">
        <v>135</v>
      </c>
      <c r="B62" t="s">
        <v>136</v>
      </c>
      <c r="C62" s="1">
        <v>45663</v>
      </c>
      <c r="D62" t="s">
        <v>34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19</v>
      </c>
      <c r="K62">
        <v>128</v>
      </c>
      <c r="L62">
        <v>1</v>
      </c>
    </row>
    <row r="63" spans="1:12" x14ac:dyDescent="0.3">
      <c r="A63" t="s">
        <v>137</v>
      </c>
      <c r="B63" t="s">
        <v>138</v>
      </c>
      <c r="C63" s="1">
        <v>45466</v>
      </c>
      <c r="D63" t="s">
        <v>22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63</v>
      </c>
      <c r="K63">
        <v>0</v>
      </c>
      <c r="L63">
        <v>0</v>
      </c>
    </row>
    <row r="64" spans="1:12" x14ac:dyDescent="0.3">
      <c r="A64" t="s">
        <v>139</v>
      </c>
      <c r="B64" t="s">
        <v>140</v>
      </c>
      <c r="C64" s="1">
        <v>45748</v>
      </c>
      <c r="D64" t="s">
        <v>34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16</v>
      </c>
      <c r="K64">
        <v>0</v>
      </c>
      <c r="L64">
        <v>0</v>
      </c>
    </row>
    <row r="65" spans="1:12" x14ac:dyDescent="0.3">
      <c r="A65" t="s">
        <v>141</v>
      </c>
      <c r="B65" t="s">
        <v>142</v>
      </c>
      <c r="C65" s="1">
        <v>45802</v>
      </c>
      <c r="D65" t="s">
        <v>42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16</v>
      </c>
      <c r="K65">
        <v>0</v>
      </c>
      <c r="L65">
        <v>0</v>
      </c>
    </row>
    <row r="66" spans="1:12" x14ac:dyDescent="0.3">
      <c r="A66" t="s">
        <v>143</v>
      </c>
      <c r="B66" t="s">
        <v>142</v>
      </c>
      <c r="C66" s="1">
        <v>45373</v>
      </c>
      <c r="D66" t="s">
        <v>39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16</v>
      </c>
      <c r="K66">
        <v>0</v>
      </c>
      <c r="L66">
        <v>0</v>
      </c>
    </row>
    <row r="67" spans="1:12" x14ac:dyDescent="0.3">
      <c r="A67" t="s">
        <v>144</v>
      </c>
      <c r="B67" t="s">
        <v>145</v>
      </c>
      <c r="C67" s="1">
        <v>45649</v>
      </c>
      <c r="D67" t="s">
        <v>22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19</v>
      </c>
      <c r="K67">
        <v>38</v>
      </c>
      <c r="L67">
        <v>1</v>
      </c>
    </row>
    <row r="68" spans="1:12" x14ac:dyDescent="0.3">
      <c r="A68" t="s">
        <v>146</v>
      </c>
      <c r="B68" t="s">
        <v>147</v>
      </c>
      <c r="C68" s="1">
        <v>45474</v>
      </c>
      <c r="D68" t="s">
        <v>48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19</v>
      </c>
      <c r="K68">
        <v>102</v>
      </c>
      <c r="L68">
        <v>1</v>
      </c>
    </row>
    <row r="69" spans="1:12" x14ac:dyDescent="0.3">
      <c r="A69" t="s">
        <v>148</v>
      </c>
      <c r="B69" t="s">
        <v>149</v>
      </c>
      <c r="C69" s="1">
        <v>45660</v>
      </c>
      <c r="D69" t="s">
        <v>48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28</v>
      </c>
      <c r="K69">
        <v>0</v>
      </c>
      <c r="L69">
        <v>0</v>
      </c>
    </row>
    <row r="70" spans="1:12" x14ac:dyDescent="0.3">
      <c r="A70" t="s">
        <v>150</v>
      </c>
      <c r="B70" t="s">
        <v>151</v>
      </c>
      <c r="C70" s="1">
        <v>45774</v>
      </c>
      <c r="D70" t="s">
        <v>18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19</v>
      </c>
      <c r="K70">
        <v>100</v>
      </c>
      <c r="L70">
        <v>1</v>
      </c>
    </row>
    <row r="71" spans="1:12" x14ac:dyDescent="0.3">
      <c r="A71" t="s">
        <v>152</v>
      </c>
      <c r="B71" t="s">
        <v>153</v>
      </c>
      <c r="C71" s="1">
        <v>45833</v>
      </c>
      <c r="D71" t="s">
        <v>18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63</v>
      </c>
      <c r="K71">
        <v>0</v>
      </c>
      <c r="L71">
        <v>0</v>
      </c>
    </row>
    <row r="72" spans="1:12" x14ac:dyDescent="0.3">
      <c r="A72" t="s">
        <v>154</v>
      </c>
      <c r="B72" t="s">
        <v>155</v>
      </c>
      <c r="C72" s="1">
        <v>45654</v>
      </c>
      <c r="D72" t="s">
        <v>25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28</v>
      </c>
      <c r="K72">
        <v>0</v>
      </c>
      <c r="L72">
        <v>0</v>
      </c>
    </row>
    <row r="73" spans="1:12" x14ac:dyDescent="0.3">
      <c r="A73" t="s">
        <v>156</v>
      </c>
      <c r="B73" t="s">
        <v>155</v>
      </c>
      <c r="C73" s="1">
        <v>45589</v>
      </c>
      <c r="D73" t="s">
        <v>15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28</v>
      </c>
      <c r="K73">
        <v>0</v>
      </c>
      <c r="L73">
        <v>0</v>
      </c>
    </row>
    <row r="74" spans="1:12" x14ac:dyDescent="0.3">
      <c r="A74" t="s">
        <v>157</v>
      </c>
      <c r="B74" t="s">
        <v>158</v>
      </c>
      <c r="C74" s="1">
        <v>45715</v>
      </c>
      <c r="D74" t="s">
        <v>37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19</v>
      </c>
      <c r="K74">
        <v>119</v>
      </c>
      <c r="L74">
        <v>1</v>
      </c>
    </row>
    <row r="75" spans="1:12" x14ac:dyDescent="0.3">
      <c r="A75" t="s">
        <v>159</v>
      </c>
      <c r="B75" t="s">
        <v>160</v>
      </c>
      <c r="C75" s="1">
        <v>45361</v>
      </c>
      <c r="D75" t="s">
        <v>39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28</v>
      </c>
      <c r="K75">
        <v>0</v>
      </c>
      <c r="L75">
        <v>0</v>
      </c>
    </row>
    <row r="76" spans="1:12" x14ac:dyDescent="0.3">
      <c r="A76" t="s">
        <v>161</v>
      </c>
      <c r="B76" t="s">
        <v>162</v>
      </c>
      <c r="C76" s="1">
        <v>45471</v>
      </c>
      <c r="D76" t="s">
        <v>31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19</v>
      </c>
      <c r="K76">
        <v>116</v>
      </c>
      <c r="L76">
        <v>1</v>
      </c>
    </row>
    <row r="77" spans="1:12" x14ac:dyDescent="0.3">
      <c r="A77" t="s">
        <v>163</v>
      </c>
      <c r="B77" t="s">
        <v>164</v>
      </c>
      <c r="C77" s="1">
        <v>45763</v>
      </c>
      <c r="D77" t="s">
        <v>15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28</v>
      </c>
      <c r="K77">
        <v>0</v>
      </c>
      <c r="L77">
        <v>0</v>
      </c>
    </row>
    <row r="78" spans="1:12" x14ac:dyDescent="0.3">
      <c r="A78" t="s">
        <v>165</v>
      </c>
      <c r="B78" t="s">
        <v>164</v>
      </c>
      <c r="C78" s="1">
        <v>45615</v>
      </c>
      <c r="D78" t="s">
        <v>18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28</v>
      </c>
      <c r="K78">
        <v>0</v>
      </c>
      <c r="L78">
        <v>0</v>
      </c>
    </row>
    <row r="79" spans="1:12" x14ac:dyDescent="0.3">
      <c r="A79" t="s">
        <v>166</v>
      </c>
      <c r="B79" t="s">
        <v>167</v>
      </c>
      <c r="C79" s="1">
        <v>45676</v>
      </c>
      <c r="D79" t="s">
        <v>31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28</v>
      </c>
      <c r="K79">
        <v>0</v>
      </c>
      <c r="L79">
        <v>0</v>
      </c>
    </row>
    <row r="80" spans="1:12" x14ac:dyDescent="0.3">
      <c r="A80" t="s">
        <v>168</v>
      </c>
      <c r="B80" t="s">
        <v>169</v>
      </c>
      <c r="C80" s="1">
        <v>45614</v>
      </c>
      <c r="D80" t="s">
        <v>48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28</v>
      </c>
      <c r="K80">
        <v>0</v>
      </c>
      <c r="L80">
        <v>0</v>
      </c>
    </row>
    <row r="81" spans="1:12" x14ac:dyDescent="0.3">
      <c r="A81" t="s">
        <v>170</v>
      </c>
      <c r="B81" t="s">
        <v>171</v>
      </c>
      <c r="C81" s="1">
        <v>45471</v>
      </c>
      <c r="D81" t="s">
        <v>31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19</v>
      </c>
      <c r="K81">
        <v>39</v>
      </c>
      <c r="L81">
        <v>1</v>
      </c>
    </row>
    <row r="82" spans="1:12" x14ac:dyDescent="0.3">
      <c r="A82" t="s">
        <v>172</v>
      </c>
      <c r="B82" t="s">
        <v>171</v>
      </c>
      <c r="C82" s="1">
        <v>45804</v>
      </c>
      <c r="D82" t="s">
        <v>39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19</v>
      </c>
      <c r="K82">
        <v>117</v>
      </c>
      <c r="L82">
        <v>1</v>
      </c>
    </row>
    <row r="83" spans="1:12" x14ac:dyDescent="0.3">
      <c r="A83" t="s">
        <v>173</v>
      </c>
      <c r="B83" t="s">
        <v>174</v>
      </c>
      <c r="C83" s="1">
        <v>45820</v>
      </c>
      <c r="D83" t="s">
        <v>22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16</v>
      </c>
      <c r="K83">
        <v>0</v>
      </c>
      <c r="L83">
        <v>0</v>
      </c>
    </row>
    <row r="84" spans="1:12" x14ac:dyDescent="0.3">
      <c r="A84" t="s">
        <v>175</v>
      </c>
      <c r="B84" t="s">
        <v>174</v>
      </c>
      <c r="C84" s="1">
        <v>45337</v>
      </c>
      <c r="D84" t="s">
        <v>15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28</v>
      </c>
      <c r="K84">
        <v>0</v>
      </c>
      <c r="L84">
        <v>0</v>
      </c>
    </row>
    <row r="85" spans="1:12" x14ac:dyDescent="0.3">
      <c r="A85" t="s">
        <v>176</v>
      </c>
      <c r="B85" t="s">
        <v>177</v>
      </c>
      <c r="C85" s="1">
        <v>45611</v>
      </c>
      <c r="D85" t="s">
        <v>42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28</v>
      </c>
      <c r="K85">
        <v>0</v>
      </c>
      <c r="L85">
        <v>0</v>
      </c>
    </row>
    <row r="86" spans="1:12" x14ac:dyDescent="0.3">
      <c r="A86" t="s">
        <v>178</v>
      </c>
      <c r="B86" t="s">
        <v>179</v>
      </c>
      <c r="C86" s="1">
        <v>45453</v>
      </c>
      <c r="D86" t="s">
        <v>22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63</v>
      </c>
      <c r="K86">
        <v>0</v>
      </c>
      <c r="L86">
        <v>0</v>
      </c>
    </row>
    <row r="87" spans="1:12" x14ac:dyDescent="0.3">
      <c r="A87" t="s">
        <v>180</v>
      </c>
      <c r="B87" t="s">
        <v>181</v>
      </c>
      <c r="C87" s="1">
        <v>45582</v>
      </c>
      <c r="D87" t="s">
        <v>39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28</v>
      </c>
      <c r="K87">
        <v>0</v>
      </c>
      <c r="L87">
        <v>0</v>
      </c>
    </row>
    <row r="88" spans="1:12" x14ac:dyDescent="0.3">
      <c r="A88" t="s">
        <v>182</v>
      </c>
      <c r="B88" t="s">
        <v>183</v>
      </c>
      <c r="C88" s="1">
        <v>45343</v>
      </c>
      <c r="D88" t="s">
        <v>22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28</v>
      </c>
      <c r="K88">
        <v>0</v>
      </c>
      <c r="L88">
        <v>0</v>
      </c>
    </row>
    <row r="89" spans="1:12" x14ac:dyDescent="0.3">
      <c r="A89" t="s">
        <v>184</v>
      </c>
      <c r="B89" t="s">
        <v>183</v>
      </c>
      <c r="C89" s="1">
        <v>45611</v>
      </c>
      <c r="D89" t="s">
        <v>34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16</v>
      </c>
      <c r="K89">
        <v>0</v>
      </c>
      <c r="L89">
        <v>0</v>
      </c>
    </row>
    <row r="90" spans="1:12" x14ac:dyDescent="0.3">
      <c r="A90" t="s">
        <v>185</v>
      </c>
      <c r="B90" t="s">
        <v>186</v>
      </c>
      <c r="C90" s="1">
        <v>45387</v>
      </c>
      <c r="D90" t="s">
        <v>37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63</v>
      </c>
      <c r="K90">
        <v>15</v>
      </c>
      <c r="L90">
        <v>0</v>
      </c>
    </row>
    <row r="91" spans="1:12" x14ac:dyDescent="0.3">
      <c r="A91" t="s">
        <v>187</v>
      </c>
      <c r="B91" t="s">
        <v>186</v>
      </c>
      <c r="C91" s="1">
        <v>45521</v>
      </c>
      <c r="D91" t="s">
        <v>15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63</v>
      </c>
      <c r="K91">
        <v>15</v>
      </c>
      <c r="L91">
        <v>0</v>
      </c>
    </row>
    <row r="92" spans="1:12" x14ac:dyDescent="0.3">
      <c r="A92" t="s">
        <v>188</v>
      </c>
      <c r="B92" t="s">
        <v>189</v>
      </c>
      <c r="C92" s="1">
        <v>45322</v>
      </c>
      <c r="D92" t="s">
        <v>34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19</v>
      </c>
      <c r="K92">
        <v>58</v>
      </c>
      <c r="L92">
        <v>1</v>
      </c>
    </row>
    <row r="93" spans="1:12" x14ac:dyDescent="0.3">
      <c r="A93" t="s">
        <v>190</v>
      </c>
      <c r="B93" t="s">
        <v>191</v>
      </c>
      <c r="C93" s="1">
        <v>45422</v>
      </c>
      <c r="D93" t="s">
        <v>15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16</v>
      </c>
      <c r="K93">
        <v>0</v>
      </c>
      <c r="L93">
        <v>0</v>
      </c>
    </row>
    <row r="94" spans="1:12" x14ac:dyDescent="0.3">
      <c r="A94" t="s">
        <v>192</v>
      </c>
      <c r="B94" t="s">
        <v>193</v>
      </c>
      <c r="C94" s="1">
        <v>45715</v>
      </c>
      <c r="D94" t="s">
        <v>22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19</v>
      </c>
      <c r="K94">
        <v>92</v>
      </c>
      <c r="L94">
        <v>1</v>
      </c>
    </row>
    <row r="95" spans="1:12" x14ac:dyDescent="0.3">
      <c r="A95" t="s">
        <v>194</v>
      </c>
      <c r="B95" t="s">
        <v>195</v>
      </c>
      <c r="C95" s="1">
        <v>45737</v>
      </c>
      <c r="D95" t="s">
        <v>15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63</v>
      </c>
      <c r="K95">
        <v>0</v>
      </c>
      <c r="L95">
        <v>0</v>
      </c>
    </row>
    <row r="96" spans="1:12" x14ac:dyDescent="0.3">
      <c r="A96" t="s">
        <v>196</v>
      </c>
      <c r="B96" t="s">
        <v>197</v>
      </c>
      <c r="C96" s="1">
        <v>45766</v>
      </c>
      <c r="D96" t="s">
        <v>37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28</v>
      </c>
      <c r="K96">
        <v>0</v>
      </c>
      <c r="L96">
        <v>0</v>
      </c>
    </row>
    <row r="97" spans="1:12" x14ac:dyDescent="0.3">
      <c r="A97" t="s">
        <v>198</v>
      </c>
      <c r="B97" t="s">
        <v>199</v>
      </c>
      <c r="C97" s="1">
        <v>45680</v>
      </c>
      <c r="D97" t="s">
        <v>18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28</v>
      </c>
      <c r="K97">
        <v>0</v>
      </c>
      <c r="L97">
        <v>0</v>
      </c>
    </row>
    <row r="98" spans="1:12" x14ac:dyDescent="0.3">
      <c r="A98" t="s">
        <v>200</v>
      </c>
      <c r="B98" t="s">
        <v>201</v>
      </c>
      <c r="C98" s="1">
        <v>45444</v>
      </c>
      <c r="D98" t="s">
        <v>34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63</v>
      </c>
      <c r="K98">
        <v>0</v>
      </c>
      <c r="L98">
        <v>0</v>
      </c>
    </row>
    <row r="99" spans="1:12" x14ac:dyDescent="0.3">
      <c r="A99" t="s">
        <v>202</v>
      </c>
      <c r="B99" t="s">
        <v>203</v>
      </c>
      <c r="C99" s="1">
        <v>45603</v>
      </c>
      <c r="D99" t="s">
        <v>39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63</v>
      </c>
      <c r="K99">
        <v>15</v>
      </c>
      <c r="L99">
        <v>0</v>
      </c>
    </row>
    <row r="100" spans="1:12" x14ac:dyDescent="0.3">
      <c r="A100" t="s">
        <v>204</v>
      </c>
      <c r="B100" t="s">
        <v>205</v>
      </c>
      <c r="C100" s="1">
        <v>45422</v>
      </c>
      <c r="D100" t="s">
        <v>37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16</v>
      </c>
      <c r="K100">
        <v>0</v>
      </c>
      <c r="L100">
        <v>0</v>
      </c>
    </row>
    <row r="101" spans="1:12" x14ac:dyDescent="0.3">
      <c r="A101" t="s">
        <v>206</v>
      </c>
      <c r="B101" t="s">
        <v>205</v>
      </c>
      <c r="C101" s="1">
        <v>45580</v>
      </c>
      <c r="D101" t="s">
        <v>42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16</v>
      </c>
      <c r="K101">
        <v>0</v>
      </c>
      <c r="L101">
        <v>0</v>
      </c>
    </row>
    <row r="102" spans="1:12" x14ac:dyDescent="0.3">
      <c r="A102" t="s">
        <v>207</v>
      </c>
      <c r="B102" t="s">
        <v>208</v>
      </c>
      <c r="C102" s="1">
        <v>45469</v>
      </c>
      <c r="D102" t="s">
        <v>31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19</v>
      </c>
      <c r="K102">
        <v>78</v>
      </c>
      <c r="L102">
        <v>1</v>
      </c>
    </row>
    <row r="103" spans="1:12" x14ac:dyDescent="0.3">
      <c r="A103" t="s">
        <v>209</v>
      </c>
      <c r="B103" t="s">
        <v>210</v>
      </c>
      <c r="C103" s="1">
        <v>45365</v>
      </c>
      <c r="D103" t="s">
        <v>31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16</v>
      </c>
      <c r="K103">
        <v>0</v>
      </c>
      <c r="L103">
        <v>0</v>
      </c>
    </row>
    <row r="104" spans="1:12" x14ac:dyDescent="0.3">
      <c r="A104" t="s">
        <v>211</v>
      </c>
      <c r="B104" t="s">
        <v>212</v>
      </c>
      <c r="C104" s="1">
        <v>45727</v>
      </c>
      <c r="D104" t="s">
        <v>34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28</v>
      </c>
      <c r="K104">
        <v>0</v>
      </c>
      <c r="L104">
        <v>0</v>
      </c>
    </row>
    <row r="105" spans="1:12" x14ac:dyDescent="0.3">
      <c r="A105" t="s">
        <v>213</v>
      </c>
      <c r="B105" t="s">
        <v>214</v>
      </c>
      <c r="C105" s="1">
        <v>45802</v>
      </c>
      <c r="D105" t="s">
        <v>18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28</v>
      </c>
      <c r="K105">
        <v>0</v>
      </c>
      <c r="L105">
        <v>0</v>
      </c>
    </row>
    <row r="106" spans="1:12" x14ac:dyDescent="0.3">
      <c r="A106" t="s">
        <v>215</v>
      </c>
      <c r="B106" t="s">
        <v>214</v>
      </c>
      <c r="C106" s="1">
        <v>45786</v>
      </c>
      <c r="D106" t="s">
        <v>18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28</v>
      </c>
      <c r="K106">
        <v>0</v>
      </c>
      <c r="L106">
        <v>0</v>
      </c>
    </row>
    <row r="107" spans="1:12" x14ac:dyDescent="0.3">
      <c r="A107" t="s">
        <v>216</v>
      </c>
      <c r="B107" t="s">
        <v>217</v>
      </c>
      <c r="C107" s="1">
        <v>45372</v>
      </c>
      <c r="D107" t="s">
        <v>34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28</v>
      </c>
      <c r="K107">
        <v>0</v>
      </c>
      <c r="L107">
        <v>0</v>
      </c>
    </row>
    <row r="108" spans="1:12" x14ac:dyDescent="0.3">
      <c r="A108" t="s">
        <v>218</v>
      </c>
      <c r="B108" t="s">
        <v>219</v>
      </c>
      <c r="C108" s="1">
        <v>45346</v>
      </c>
      <c r="D108" t="s">
        <v>37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28</v>
      </c>
      <c r="K108">
        <v>0</v>
      </c>
      <c r="L108">
        <v>0</v>
      </c>
    </row>
    <row r="109" spans="1:12" x14ac:dyDescent="0.3">
      <c r="A109" t="s">
        <v>220</v>
      </c>
      <c r="B109" t="s">
        <v>221</v>
      </c>
      <c r="C109" s="1">
        <v>45593</v>
      </c>
      <c r="D109" t="s">
        <v>15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19</v>
      </c>
      <c r="K109">
        <v>39</v>
      </c>
      <c r="L109">
        <v>1</v>
      </c>
    </row>
    <row r="110" spans="1:12" x14ac:dyDescent="0.3">
      <c r="A110" t="s">
        <v>222</v>
      </c>
      <c r="B110" t="s">
        <v>223</v>
      </c>
      <c r="C110" s="1">
        <v>45776</v>
      </c>
      <c r="D110" t="s">
        <v>48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63</v>
      </c>
      <c r="K110">
        <v>0</v>
      </c>
      <c r="L110">
        <v>0</v>
      </c>
    </row>
    <row r="111" spans="1:12" x14ac:dyDescent="0.3">
      <c r="A111" t="s">
        <v>224</v>
      </c>
      <c r="B111" t="s">
        <v>225</v>
      </c>
      <c r="C111" s="1">
        <v>45576</v>
      </c>
      <c r="D111" t="s">
        <v>48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19</v>
      </c>
      <c r="K111">
        <v>101</v>
      </c>
      <c r="L111">
        <v>1</v>
      </c>
    </row>
    <row r="112" spans="1:12" x14ac:dyDescent="0.3">
      <c r="A112" t="s">
        <v>226</v>
      </c>
      <c r="B112" t="s">
        <v>227</v>
      </c>
      <c r="C112" s="1">
        <v>45446</v>
      </c>
      <c r="D112" t="s">
        <v>25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28</v>
      </c>
      <c r="K112">
        <v>0</v>
      </c>
      <c r="L112">
        <v>0</v>
      </c>
    </row>
    <row r="113" spans="1:12" x14ac:dyDescent="0.3">
      <c r="A113" t="s">
        <v>228</v>
      </c>
      <c r="B113" t="s">
        <v>229</v>
      </c>
      <c r="C113" s="1">
        <v>45378</v>
      </c>
      <c r="D113" t="s">
        <v>39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16</v>
      </c>
      <c r="K113">
        <v>0</v>
      </c>
      <c r="L113">
        <v>0</v>
      </c>
    </row>
    <row r="114" spans="1:12" x14ac:dyDescent="0.3">
      <c r="A114" t="s">
        <v>230</v>
      </c>
      <c r="B114" t="s">
        <v>231</v>
      </c>
      <c r="C114" s="1">
        <v>45463</v>
      </c>
      <c r="D114" t="s">
        <v>18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19</v>
      </c>
      <c r="K114">
        <v>118</v>
      </c>
      <c r="L114">
        <v>1</v>
      </c>
    </row>
    <row r="115" spans="1:12" x14ac:dyDescent="0.3">
      <c r="A115" t="s">
        <v>232</v>
      </c>
      <c r="B115" t="s">
        <v>231</v>
      </c>
      <c r="C115" s="1">
        <v>45767</v>
      </c>
      <c r="D115" t="s">
        <v>42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19</v>
      </c>
      <c r="K115">
        <v>107</v>
      </c>
      <c r="L115">
        <v>1</v>
      </c>
    </row>
    <row r="116" spans="1:12" x14ac:dyDescent="0.3">
      <c r="A116" t="s">
        <v>233</v>
      </c>
      <c r="B116" t="s">
        <v>234</v>
      </c>
      <c r="C116" s="1">
        <v>45440</v>
      </c>
      <c r="D116" t="s">
        <v>22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28</v>
      </c>
      <c r="K116">
        <v>0</v>
      </c>
      <c r="L116">
        <v>0</v>
      </c>
    </row>
    <row r="117" spans="1:12" x14ac:dyDescent="0.3">
      <c r="A117" t="s">
        <v>235</v>
      </c>
      <c r="B117" t="s">
        <v>236</v>
      </c>
      <c r="C117" s="1">
        <v>45836</v>
      </c>
      <c r="D117" t="s">
        <v>18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63</v>
      </c>
      <c r="K117">
        <v>30</v>
      </c>
      <c r="L117">
        <v>0</v>
      </c>
    </row>
    <row r="118" spans="1:12" x14ac:dyDescent="0.3">
      <c r="A118" t="s">
        <v>237</v>
      </c>
      <c r="B118" t="s">
        <v>238</v>
      </c>
      <c r="C118" s="1">
        <v>45692</v>
      </c>
      <c r="D118" t="s">
        <v>25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28</v>
      </c>
      <c r="K118">
        <v>0</v>
      </c>
      <c r="L118">
        <v>0</v>
      </c>
    </row>
    <row r="119" spans="1:12" x14ac:dyDescent="0.3">
      <c r="A119" t="s">
        <v>239</v>
      </c>
      <c r="B119" t="s">
        <v>238</v>
      </c>
      <c r="C119" s="1">
        <v>45302</v>
      </c>
      <c r="D119" t="s">
        <v>48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28</v>
      </c>
      <c r="K119">
        <v>0</v>
      </c>
      <c r="L119">
        <v>0</v>
      </c>
    </row>
    <row r="120" spans="1:12" x14ac:dyDescent="0.3">
      <c r="A120" t="s">
        <v>240</v>
      </c>
      <c r="B120" t="s">
        <v>241</v>
      </c>
      <c r="C120" s="1">
        <v>45326</v>
      </c>
      <c r="D120" t="s">
        <v>37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19</v>
      </c>
      <c r="K120">
        <v>53</v>
      </c>
      <c r="L120">
        <v>1</v>
      </c>
    </row>
    <row r="121" spans="1:12" x14ac:dyDescent="0.3">
      <c r="A121" t="s">
        <v>242</v>
      </c>
      <c r="B121" t="s">
        <v>243</v>
      </c>
      <c r="C121" s="1">
        <v>45414</v>
      </c>
      <c r="D121" t="s">
        <v>48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19</v>
      </c>
      <c r="K121">
        <v>63</v>
      </c>
      <c r="L121">
        <v>1</v>
      </c>
    </row>
    <row r="122" spans="1:12" x14ac:dyDescent="0.3">
      <c r="A122" t="s">
        <v>244</v>
      </c>
      <c r="B122" t="s">
        <v>245</v>
      </c>
      <c r="C122" s="1">
        <v>45551</v>
      </c>
      <c r="D122" t="s">
        <v>48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28</v>
      </c>
      <c r="K122">
        <v>0</v>
      </c>
      <c r="L122">
        <v>0</v>
      </c>
    </row>
    <row r="123" spans="1:12" x14ac:dyDescent="0.3">
      <c r="A123" t="s">
        <v>246</v>
      </c>
      <c r="B123" t="s">
        <v>247</v>
      </c>
      <c r="C123" s="1">
        <v>45367</v>
      </c>
      <c r="D123" t="s">
        <v>25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19</v>
      </c>
      <c r="K123">
        <v>45</v>
      </c>
      <c r="L123">
        <v>1</v>
      </c>
    </row>
    <row r="124" spans="1:12" x14ac:dyDescent="0.3">
      <c r="A124" t="s">
        <v>248</v>
      </c>
      <c r="B124" t="s">
        <v>249</v>
      </c>
      <c r="C124" s="1">
        <v>45363</v>
      </c>
      <c r="D124" t="s">
        <v>31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63</v>
      </c>
      <c r="K124">
        <v>15</v>
      </c>
      <c r="L124">
        <v>0</v>
      </c>
    </row>
    <row r="125" spans="1:12" x14ac:dyDescent="0.3">
      <c r="A125" t="s">
        <v>250</v>
      </c>
      <c r="B125" t="s">
        <v>251</v>
      </c>
      <c r="C125" s="1">
        <v>45400</v>
      </c>
      <c r="D125" t="s">
        <v>15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28</v>
      </c>
      <c r="K125">
        <v>0</v>
      </c>
      <c r="L125">
        <v>0</v>
      </c>
    </row>
    <row r="126" spans="1:12" x14ac:dyDescent="0.3">
      <c r="A126" t="s">
        <v>252</v>
      </c>
      <c r="B126" t="s">
        <v>253</v>
      </c>
      <c r="C126" s="1">
        <v>45444</v>
      </c>
      <c r="D126" t="s">
        <v>48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28</v>
      </c>
      <c r="K126">
        <v>0</v>
      </c>
      <c r="L126">
        <v>0</v>
      </c>
    </row>
    <row r="127" spans="1:12" x14ac:dyDescent="0.3">
      <c r="A127" t="s">
        <v>254</v>
      </c>
      <c r="B127" t="s">
        <v>255</v>
      </c>
      <c r="C127" s="1">
        <v>45794</v>
      </c>
      <c r="D127" t="s">
        <v>34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16</v>
      </c>
      <c r="K127">
        <v>0</v>
      </c>
      <c r="L127">
        <v>0</v>
      </c>
    </row>
    <row r="128" spans="1:12" x14ac:dyDescent="0.3">
      <c r="A128" t="s">
        <v>256</v>
      </c>
      <c r="B128" t="s">
        <v>257</v>
      </c>
      <c r="C128" s="1">
        <v>45659</v>
      </c>
      <c r="D128" t="s">
        <v>37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28</v>
      </c>
      <c r="K128">
        <v>0</v>
      </c>
      <c r="L128">
        <v>0</v>
      </c>
    </row>
    <row r="129" spans="1:12" x14ac:dyDescent="0.3">
      <c r="A129" t="s">
        <v>258</v>
      </c>
      <c r="B129" t="s">
        <v>257</v>
      </c>
      <c r="C129" s="1">
        <v>45762</v>
      </c>
      <c r="D129" t="s">
        <v>37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28</v>
      </c>
      <c r="K129">
        <v>0</v>
      </c>
      <c r="L129">
        <v>0</v>
      </c>
    </row>
    <row r="130" spans="1:12" x14ac:dyDescent="0.3">
      <c r="A130" t="s">
        <v>259</v>
      </c>
      <c r="B130" t="s">
        <v>260</v>
      </c>
      <c r="C130" s="1">
        <v>45659</v>
      </c>
      <c r="D130" t="s">
        <v>18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63</v>
      </c>
      <c r="K130">
        <v>15</v>
      </c>
      <c r="L130">
        <v>0</v>
      </c>
    </row>
    <row r="131" spans="1:12" x14ac:dyDescent="0.3">
      <c r="A131" t="s">
        <v>261</v>
      </c>
      <c r="B131" t="s">
        <v>262</v>
      </c>
      <c r="C131" s="1">
        <v>45690</v>
      </c>
      <c r="D131" t="s">
        <v>42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19</v>
      </c>
      <c r="K131">
        <v>168</v>
      </c>
      <c r="L131">
        <v>1</v>
      </c>
    </row>
    <row r="132" spans="1:12" x14ac:dyDescent="0.3">
      <c r="A132" t="s">
        <v>263</v>
      </c>
      <c r="B132" t="s">
        <v>264</v>
      </c>
      <c r="C132" s="1">
        <v>45308</v>
      </c>
      <c r="D132" t="s">
        <v>15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19</v>
      </c>
      <c r="K132">
        <v>44</v>
      </c>
      <c r="L132">
        <v>1</v>
      </c>
    </row>
    <row r="133" spans="1:12" x14ac:dyDescent="0.3">
      <c r="A133" t="s">
        <v>265</v>
      </c>
      <c r="B133" t="s">
        <v>266</v>
      </c>
      <c r="C133" s="1">
        <v>45444</v>
      </c>
      <c r="D133" t="s">
        <v>42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28</v>
      </c>
      <c r="K133">
        <v>0</v>
      </c>
      <c r="L133">
        <v>0</v>
      </c>
    </row>
    <row r="134" spans="1:12" x14ac:dyDescent="0.3">
      <c r="A134" t="s">
        <v>267</v>
      </c>
      <c r="B134" t="s">
        <v>268</v>
      </c>
      <c r="C134" s="1">
        <v>45425</v>
      </c>
      <c r="D134" t="s">
        <v>15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19</v>
      </c>
      <c r="K134">
        <v>42</v>
      </c>
      <c r="L134">
        <v>1</v>
      </c>
    </row>
    <row r="135" spans="1:12" x14ac:dyDescent="0.3">
      <c r="A135" t="s">
        <v>269</v>
      </c>
      <c r="B135" t="s">
        <v>270</v>
      </c>
      <c r="C135" s="1">
        <v>45400</v>
      </c>
      <c r="D135" t="s">
        <v>37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19</v>
      </c>
      <c r="K135">
        <v>86</v>
      </c>
      <c r="L135">
        <v>1</v>
      </c>
    </row>
    <row r="136" spans="1:12" x14ac:dyDescent="0.3">
      <c r="A136" t="s">
        <v>271</v>
      </c>
      <c r="B136" t="s">
        <v>270</v>
      </c>
      <c r="C136" s="1">
        <v>45432</v>
      </c>
      <c r="D136" t="s">
        <v>37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63</v>
      </c>
      <c r="K136">
        <v>30</v>
      </c>
      <c r="L136">
        <v>0</v>
      </c>
    </row>
    <row r="137" spans="1:12" x14ac:dyDescent="0.3">
      <c r="A137" t="s">
        <v>272</v>
      </c>
      <c r="B137" t="s">
        <v>273</v>
      </c>
      <c r="C137" s="1">
        <v>45464</v>
      </c>
      <c r="D137" t="s">
        <v>34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28</v>
      </c>
      <c r="K137">
        <v>0</v>
      </c>
      <c r="L137">
        <v>0</v>
      </c>
    </row>
    <row r="138" spans="1:12" x14ac:dyDescent="0.3">
      <c r="A138" t="s">
        <v>274</v>
      </c>
      <c r="B138" t="s">
        <v>275</v>
      </c>
      <c r="C138" s="1">
        <v>45453</v>
      </c>
      <c r="D138" t="s">
        <v>42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19</v>
      </c>
      <c r="K138">
        <v>154</v>
      </c>
      <c r="L138">
        <v>1</v>
      </c>
    </row>
    <row r="139" spans="1:12" x14ac:dyDescent="0.3">
      <c r="A139" t="s">
        <v>276</v>
      </c>
      <c r="B139" t="s">
        <v>275</v>
      </c>
      <c r="C139" s="1">
        <v>45582</v>
      </c>
      <c r="D139" t="s">
        <v>37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19</v>
      </c>
      <c r="K139">
        <v>151</v>
      </c>
      <c r="L139">
        <v>1</v>
      </c>
    </row>
    <row r="140" spans="1:12" x14ac:dyDescent="0.3">
      <c r="A140" t="s">
        <v>277</v>
      </c>
      <c r="B140" t="s">
        <v>278</v>
      </c>
      <c r="C140" s="1">
        <v>45470</v>
      </c>
      <c r="D140" t="s">
        <v>39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28</v>
      </c>
      <c r="K140">
        <v>0</v>
      </c>
      <c r="L140">
        <v>0</v>
      </c>
    </row>
    <row r="141" spans="1:12" x14ac:dyDescent="0.3">
      <c r="A141" t="s">
        <v>279</v>
      </c>
      <c r="B141" t="s">
        <v>280</v>
      </c>
      <c r="C141" s="1">
        <v>45533</v>
      </c>
      <c r="D141" t="s">
        <v>37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19</v>
      </c>
      <c r="K141">
        <v>165</v>
      </c>
      <c r="L141">
        <v>1</v>
      </c>
    </row>
    <row r="142" spans="1:12" x14ac:dyDescent="0.3">
      <c r="A142" t="s">
        <v>281</v>
      </c>
      <c r="B142" t="s">
        <v>282</v>
      </c>
      <c r="C142" s="1">
        <v>45767</v>
      </c>
      <c r="D142" t="s">
        <v>48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28</v>
      </c>
      <c r="K142">
        <v>0</v>
      </c>
      <c r="L142">
        <v>0</v>
      </c>
    </row>
    <row r="143" spans="1:12" x14ac:dyDescent="0.3">
      <c r="A143" t="s">
        <v>283</v>
      </c>
      <c r="B143" t="s">
        <v>282</v>
      </c>
      <c r="C143" s="1">
        <v>45455</v>
      </c>
      <c r="D143" t="s">
        <v>39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63</v>
      </c>
      <c r="K143">
        <v>0</v>
      </c>
      <c r="L143">
        <v>0</v>
      </c>
    </row>
    <row r="144" spans="1:12" x14ac:dyDescent="0.3">
      <c r="A144" t="s">
        <v>284</v>
      </c>
      <c r="B144" t="s">
        <v>285</v>
      </c>
      <c r="C144" s="1">
        <v>45345</v>
      </c>
      <c r="D144" t="s">
        <v>18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16</v>
      </c>
      <c r="K144">
        <v>0</v>
      </c>
      <c r="L144">
        <v>0</v>
      </c>
    </row>
    <row r="145" spans="1:12" x14ac:dyDescent="0.3">
      <c r="A145" t="s">
        <v>286</v>
      </c>
      <c r="B145" t="s">
        <v>287</v>
      </c>
      <c r="C145" s="1">
        <v>45625</v>
      </c>
      <c r="D145" t="s">
        <v>37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16</v>
      </c>
      <c r="K145">
        <v>0</v>
      </c>
      <c r="L145">
        <v>0</v>
      </c>
    </row>
    <row r="146" spans="1:12" x14ac:dyDescent="0.3">
      <c r="A146" t="s">
        <v>288</v>
      </c>
      <c r="B146" t="s">
        <v>289</v>
      </c>
      <c r="C146" s="1">
        <v>45676</v>
      </c>
      <c r="D146" t="s">
        <v>37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28</v>
      </c>
      <c r="K146">
        <v>0</v>
      </c>
      <c r="L146">
        <v>0</v>
      </c>
    </row>
    <row r="147" spans="1:12" x14ac:dyDescent="0.3">
      <c r="A147" t="s">
        <v>290</v>
      </c>
      <c r="B147" t="s">
        <v>291</v>
      </c>
      <c r="C147" s="1">
        <v>45674</v>
      </c>
      <c r="D147" t="s">
        <v>18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19</v>
      </c>
      <c r="K147">
        <v>79</v>
      </c>
      <c r="L147">
        <v>1</v>
      </c>
    </row>
    <row r="148" spans="1:12" x14ac:dyDescent="0.3">
      <c r="A148" t="s">
        <v>292</v>
      </c>
      <c r="B148" t="s">
        <v>293</v>
      </c>
      <c r="C148" s="1">
        <v>45431</v>
      </c>
      <c r="D148" t="s">
        <v>25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19</v>
      </c>
      <c r="K148">
        <v>149</v>
      </c>
      <c r="L148">
        <v>1</v>
      </c>
    </row>
    <row r="149" spans="1:12" x14ac:dyDescent="0.3">
      <c r="A149" t="s">
        <v>294</v>
      </c>
      <c r="B149" t="s">
        <v>295</v>
      </c>
      <c r="C149" s="1">
        <v>45466</v>
      </c>
      <c r="D149" t="s">
        <v>34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28</v>
      </c>
      <c r="K149">
        <v>0</v>
      </c>
      <c r="L149">
        <v>0</v>
      </c>
    </row>
    <row r="150" spans="1:12" x14ac:dyDescent="0.3">
      <c r="A150" t="s">
        <v>296</v>
      </c>
      <c r="B150" t="s">
        <v>297</v>
      </c>
      <c r="C150" s="1">
        <v>45765</v>
      </c>
      <c r="D150" t="s">
        <v>22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16</v>
      </c>
      <c r="K150">
        <v>0</v>
      </c>
      <c r="L150">
        <v>0</v>
      </c>
    </row>
    <row r="151" spans="1:12" x14ac:dyDescent="0.3">
      <c r="A151" t="s">
        <v>298</v>
      </c>
      <c r="B151" t="s">
        <v>299</v>
      </c>
      <c r="C151" s="1">
        <v>45297</v>
      </c>
      <c r="D151" t="s">
        <v>31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16</v>
      </c>
      <c r="K151">
        <v>0</v>
      </c>
      <c r="L151">
        <v>0</v>
      </c>
    </row>
    <row r="152" spans="1:12" x14ac:dyDescent="0.3">
      <c r="A152" t="s">
        <v>300</v>
      </c>
      <c r="B152" t="s">
        <v>301</v>
      </c>
      <c r="C152" s="1">
        <v>45392</v>
      </c>
      <c r="D152" t="s">
        <v>22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28</v>
      </c>
      <c r="K152">
        <v>0</v>
      </c>
      <c r="L152">
        <v>0</v>
      </c>
    </row>
    <row r="153" spans="1:12" x14ac:dyDescent="0.3">
      <c r="A153" t="s">
        <v>302</v>
      </c>
      <c r="B153" t="s">
        <v>303</v>
      </c>
      <c r="C153" s="1">
        <v>45384</v>
      </c>
      <c r="D153" t="s">
        <v>18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19</v>
      </c>
      <c r="K153">
        <v>108</v>
      </c>
      <c r="L153">
        <v>1</v>
      </c>
    </row>
    <row r="154" spans="1:12" x14ac:dyDescent="0.3">
      <c r="A154" t="s">
        <v>304</v>
      </c>
      <c r="B154" t="s">
        <v>305</v>
      </c>
      <c r="C154" s="1">
        <v>45766</v>
      </c>
      <c r="D154" t="s">
        <v>15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63</v>
      </c>
      <c r="K154">
        <v>15</v>
      </c>
      <c r="L154">
        <v>0</v>
      </c>
    </row>
    <row r="155" spans="1:12" x14ac:dyDescent="0.3">
      <c r="A155" t="s">
        <v>306</v>
      </c>
      <c r="B155" t="s">
        <v>307</v>
      </c>
      <c r="C155" s="1">
        <v>45364</v>
      </c>
      <c r="D155" t="s">
        <v>31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19</v>
      </c>
      <c r="K155">
        <v>115</v>
      </c>
      <c r="L155">
        <v>1</v>
      </c>
    </row>
    <row r="156" spans="1:12" x14ac:dyDescent="0.3">
      <c r="A156" t="s">
        <v>308</v>
      </c>
      <c r="B156" t="s">
        <v>309</v>
      </c>
      <c r="C156" s="1">
        <v>45504</v>
      </c>
      <c r="D156" t="s">
        <v>25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16</v>
      </c>
      <c r="K156">
        <v>0</v>
      </c>
      <c r="L156">
        <v>0</v>
      </c>
    </row>
    <row r="157" spans="1:12" x14ac:dyDescent="0.3">
      <c r="A157" t="s">
        <v>310</v>
      </c>
      <c r="B157" t="s">
        <v>311</v>
      </c>
      <c r="C157" s="1">
        <v>45405</v>
      </c>
      <c r="D157" t="s">
        <v>42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28</v>
      </c>
      <c r="K157">
        <v>0</v>
      </c>
      <c r="L157">
        <v>0</v>
      </c>
    </row>
    <row r="158" spans="1:12" x14ac:dyDescent="0.3">
      <c r="A158" t="s">
        <v>312</v>
      </c>
      <c r="B158" t="s">
        <v>313</v>
      </c>
      <c r="C158" s="1">
        <v>45634</v>
      </c>
      <c r="D158" t="s">
        <v>22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28</v>
      </c>
      <c r="K158">
        <v>0</v>
      </c>
      <c r="L158">
        <v>0</v>
      </c>
    </row>
    <row r="159" spans="1:12" x14ac:dyDescent="0.3">
      <c r="A159" t="s">
        <v>314</v>
      </c>
      <c r="B159" t="s">
        <v>315</v>
      </c>
      <c r="C159" s="1">
        <v>45565</v>
      </c>
      <c r="D159" t="s">
        <v>48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28</v>
      </c>
      <c r="K159">
        <v>0</v>
      </c>
      <c r="L159">
        <v>0</v>
      </c>
    </row>
    <row r="160" spans="1:12" x14ac:dyDescent="0.3">
      <c r="A160" t="s">
        <v>316</v>
      </c>
      <c r="B160" t="s">
        <v>315</v>
      </c>
      <c r="C160" s="1">
        <v>45773</v>
      </c>
      <c r="D160" t="s">
        <v>31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28</v>
      </c>
      <c r="K160">
        <v>0</v>
      </c>
      <c r="L160">
        <v>0</v>
      </c>
    </row>
    <row r="161" spans="1:12" x14ac:dyDescent="0.3">
      <c r="A161" t="s">
        <v>317</v>
      </c>
      <c r="B161" t="s">
        <v>318</v>
      </c>
      <c r="C161" s="1">
        <v>45760</v>
      </c>
      <c r="D161" t="s">
        <v>48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19</v>
      </c>
      <c r="K161">
        <v>130</v>
      </c>
      <c r="L161">
        <v>1</v>
      </c>
    </row>
    <row r="162" spans="1:12" x14ac:dyDescent="0.3">
      <c r="A162" t="s">
        <v>319</v>
      </c>
      <c r="B162" t="s">
        <v>320</v>
      </c>
      <c r="C162" s="1">
        <v>45443</v>
      </c>
      <c r="D162" t="s">
        <v>25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63</v>
      </c>
      <c r="K162">
        <v>15</v>
      </c>
      <c r="L162">
        <v>0</v>
      </c>
    </row>
    <row r="163" spans="1:12" x14ac:dyDescent="0.3">
      <c r="A163" t="s">
        <v>321</v>
      </c>
      <c r="B163" t="s">
        <v>320</v>
      </c>
      <c r="C163" s="1">
        <v>45777</v>
      </c>
      <c r="D163" t="s">
        <v>42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63</v>
      </c>
      <c r="K163">
        <v>0</v>
      </c>
      <c r="L163">
        <v>0</v>
      </c>
    </row>
    <row r="164" spans="1:12" x14ac:dyDescent="0.3">
      <c r="A164" t="s">
        <v>322</v>
      </c>
      <c r="B164" t="s">
        <v>323</v>
      </c>
      <c r="C164" s="1">
        <v>45713</v>
      </c>
      <c r="D164" t="s">
        <v>37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16</v>
      </c>
      <c r="K164">
        <v>0</v>
      </c>
      <c r="L164">
        <v>0</v>
      </c>
    </row>
    <row r="165" spans="1:12" x14ac:dyDescent="0.3">
      <c r="A165" t="s">
        <v>324</v>
      </c>
      <c r="B165" t="s">
        <v>325</v>
      </c>
      <c r="C165" s="1">
        <v>45605</v>
      </c>
      <c r="D165" t="s">
        <v>22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28</v>
      </c>
      <c r="K165">
        <v>0</v>
      </c>
      <c r="L165">
        <v>0</v>
      </c>
    </row>
    <row r="166" spans="1:12" x14ac:dyDescent="0.3">
      <c r="A166" t="s">
        <v>326</v>
      </c>
      <c r="B166" t="s">
        <v>327</v>
      </c>
      <c r="C166" s="1">
        <v>45456</v>
      </c>
      <c r="D166" t="s">
        <v>42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16</v>
      </c>
      <c r="K166">
        <v>0</v>
      </c>
      <c r="L166">
        <v>0</v>
      </c>
    </row>
    <row r="167" spans="1:12" x14ac:dyDescent="0.3">
      <c r="A167" t="s">
        <v>328</v>
      </c>
      <c r="B167" t="s">
        <v>327</v>
      </c>
      <c r="C167" s="1">
        <v>45743</v>
      </c>
      <c r="D167" t="s">
        <v>34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28</v>
      </c>
      <c r="K167">
        <v>0</v>
      </c>
      <c r="L167">
        <v>0</v>
      </c>
    </row>
    <row r="168" spans="1:12" x14ac:dyDescent="0.3">
      <c r="A168" t="s">
        <v>329</v>
      </c>
      <c r="B168" t="s">
        <v>330</v>
      </c>
      <c r="C168" s="1">
        <v>45458</v>
      </c>
      <c r="D168" t="s">
        <v>31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28</v>
      </c>
      <c r="K168">
        <v>0</v>
      </c>
      <c r="L168">
        <v>0</v>
      </c>
    </row>
    <row r="169" spans="1:12" x14ac:dyDescent="0.3">
      <c r="A169" t="s">
        <v>331</v>
      </c>
      <c r="B169" t="s">
        <v>332</v>
      </c>
      <c r="C169" s="1">
        <v>45811</v>
      </c>
      <c r="D169" t="s">
        <v>34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19</v>
      </c>
      <c r="K169">
        <v>105</v>
      </c>
      <c r="L169">
        <v>1</v>
      </c>
    </row>
    <row r="170" spans="1:12" x14ac:dyDescent="0.3">
      <c r="A170" t="s">
        <v>333</v>
      </c>
      <c r="B170" t="s">
        <v>332</v>
      </c>
      <c r="C170" s="1">
        <v>45744</v>
      </c>
      <c r="D170" t="s">
        <v>15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19</v>
      </c>
      <c r="K170">
        <v>58</v>
      </c>
      <c r="L170">
        <v>1</v>
      </c>
    </row>
    <row r="171" spans="1:12" x14ac:dyDescent="0.3">
      <c r="A171" t="s">
        <v>334</v>
      </c>
      <c r="B171" t="s">
        <v>335</v>
      </c>
      <c r="C171" s="1">
        <v>45517</v>
      </c>
      <c r="D171" t="s">
        <v>42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28</v>
      </c>
      <c r="K171">
        <v>0</v>
      </c>
      <c r="L171">
        <v>0</v>
      </c>
    </row>
    <row r="172" spans="1:12" x14ac:dyDescent="0.3">
      <c r="A172" t="s">
        <v>336</v>
      </c>
      <c r="B172" t="s">
        <v>337</v>
      </c>
      <c r="C172" s="1">
        <v>45377</v>
      </c>
      <c r="D172" t="s">
        <v>48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63</v>
      </c>
      <c r="K172">
        <v>0</v>
      </c>
      <c r="L172">
        <v>0</v>
      </c>
    </row>
    <row r="173" spans="1:12" x14ac:dyDescent="0.3">
      <c r="A173" t="s">
        <v>338</v>
      </c>
      <c r="B173" t="s">
        <v>339</v>
      </c>
      <c r="C173" s="1">
        <v>45349</v>
      </c>
      <c r="D173" t="s">
        <v>22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28</v>
      </c>
      <c r="K173">
        <v>0</v>
      </c>
      <c r="L173">
        <v>0</v>
      </c>
    </row>
    <row r="174" spans="1:12" x14ac:dyDescent="0.3">
      <c r="A174" t="s">
        <v>340</v>
      </c>
      <c r="B174" t="s">
        <v>341</v>
      </c>
      <c r="C174" s="1">
        <v>45748</v>
      </c>
      <c r="D174" t="s">
        <v>31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16</v>
      </c>
      <c r="K174">
        <v>0</v>
      </c>
      <c r="L174">
        <v>0</v>
      </c>
    </row>
    <row r="175" spans="1:12" x14ac:dyDescent="0.3">
      <c r="A175" t="s">
        <v>342</v>
      </c>
      <c r="B175" t="s">
        <v>341</v>
      </c>
      <c r="C175" s="1">
        <v>45726</v>
      </c>
      <c r="D175" t="s">
        <v>15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16</v>
      </c>
      <c r="K175">
        <v>0</v>
      </c>
      <c r="L175">
        <v>0</v>
      </c>
    </row>
    <row r="176" spans="1:12" x14ac:dyDescent="0.3">
      <c r="A176" t="s">
        <v>343</v>
      </c>
      <c r="B176" t="s">
        <v>344</v>
      </c>
      <c r="C176" s="1">
        <v>45359</v>
      </c>
      <c r="D176" t="s">
        <v>34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28</v>
      </c>
      <c r="K176">
        <v>0</v>
      </c>
      <c r="L176">
        <v>0</v>
      </c>
    </row>
    <row r="177" spans="1:12" x14ac:dyDescent="0.3">
      <c r="A177" t="s">
        <v>345</v>
      </c>
      <c r="B177" t="s">
        <v>346</v>
      </c>
      <c r="C177" s="1">
        <v>45432</v>
      </c>
      <c r="D177" t="s">
        <v>25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19</v>
      </c>
      <c r="K177">
        <v>127</v>
      </c>
      <c r="L177">
        <v>1</v>
      </c>
    </row>
    <row r="178" spans="1:12" x14ac:dyDescent="0.3">
      <c r="A178" t="s">
        <v>347</v>
      </c>
      <c r="B178" t="s">
        <v>348</v>
      </c>
      <c r="C178" s="1">
        <v>45766</v>
      </c>
      <c r="D178" t="s">
        <v>15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28</v>
      </c>
      <c r="K178">
        <v>0</v>
      </c>
      <c r="L178">
        <v>0</v>
      </c>
    </row>
    <row r="179" spans="1:12" x14ac:dyDescent="0.3">
      <c r="A179" t="s">
        <v>349</v>
      </c>
      <c r="B179" t="s">
        <v>350</v>
      </c>
      <c r="C179" s="1">
        <v>45795</v>
      </c>
      <c r="D179" t="s">
        <v>15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28</v>
      </c>
      <c r="K179">
        <v>0</v>
      </c>
      <c r="L179">
        <v>0</v>
      </c>
    </row>
    <row r="180" spans="1:12" x14ac:dyDescent="0.3">
      <c r="A180" t="s">
        <v>351</v>
      </c>
      <c r="B180" t="s">
        <v>352</v>
      </c>
      <c r="C180" s="1">
        <v>45738</v>
      </c>
      <c r="D180" t="s">
        <v>15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28</v>
      </c>
      <c r="K180">
        <v>0</v>
      </c>
      <c r="L180">
        <v>0</v>
      </c>
    </row>
    <row r="181" spans="1:12" x14ac:dyDescent="0.3">
      <c r="A181" t="s">
        <v>353</v>
      </c>
      <c r="B181" t="s">
        <v>354</v>
      </c>
      <c r="C181" s="1">
        <v>45458</v>
      </c>
      <c r="D181" t="s">
        <v>37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28</v>
      </c>
      <c r="K181">
        <v>0</v>
      </c>
      <c r="L181">
        <v>0</v>
      </c>
    </row>
    <row r="182" spans="1:12" x14ac:dyDescent="0.3">
      <c r="A182" t="s">
        <v>355</v>
      </c>
      <c r="B182" t="s">
        <v>356</v>
      </c>
      <c r="C182" s="1">
        <v>45656</v>
      </c>
      <c r="D182" t="s">
        <v>31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19</v>
      </c>
      <c r="K182">
        <v>104</v>
      </c>
      <c r="L182">
        <v>1</v>
      </c>
    </row>
    <row r="183" spans="1:12" x14ac:dyDescent="0.3">
      <c r="A183" t="s">
        <v>357</v>
      </c>
      <c r="B183" t="s">
        <v>358</v>
      </c>
      <c r="C183" s="1">
        <v>45463</v>
      </c>
      <c r="D183" t="s">
        <v>37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63</v>
      </c>
      <c r="K183">
        <v>15</v>
      </c>
      <c r="L183">
        <v>0</v>
      </c>
    </row>
    <row r="184" spans="1:12" x14ac:dyDescent="0.3">
      <c r="A184" t="s">
        <v>359</v>
      </c>
      <c r="B184" t="s">
        <v>360</v>
      </c>
      <c r="C184" s="1">
        <v>45652</v>
      </c>
      <c r="D184" t="s">
        <v>25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28</v>
      </c>
      <c r="K184">
        <v>0</v>
      </c>
      <c r="L184">
        <v>0</v>
      </c>
    </row>
    <row r="185" spans="1:12" x14ac:dyDescent="0.3">
      <c r="A185" t="s">
        <v>361</v>
      </c>
      <c r="B185" t="s">
        <v>362</v>
      </c>
      <c r="C185" s="1">
        <v>45450</v>
      </c>
      <c r="D185" t="s">
        <v>15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16</v>
      </c>
      <c r="K185">
        <v>0</v>
      </c>
      <c r="L185">
        <v>0</v>
      </c>
    </row>
    <row r="186" spans="1:12" x14ac:dyDescent="0.3">
      <c r="A186" t="s">
        <v>363</v>
      </c>
      <c r="B186" t="s">
        <v>364</v>
      </c>
      <c r="C186" s="1">
        <v>45370</v>
      </c>
      <c r="D186" t="s">
        <v>22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19</v>
      </c>
      <c r="K186">
        <v>63</v>
      </c>
      <c r="L186">
        <v>1</v>
      </c>
    </row>
    <row r="187" spans="1:12" x14ac:dyDescent="0.3">
      <c r="A187" t="s">
        <v>365</v>
      </c>
      <c r="B187" t="s">
        <v>366</v>
      </c>
      <c r="C187" s="1">
        <v>45827</v>
      </c>
      <c r="D187" t="s">
        <v>15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16</v>
      </c>
      <c r="K187">
        <v>0</v>
      </c>
      <c r="L187">
        <v>0</v>
      </c>
    </row>
    <row r="188" spans="1:12" x14ac:dyDescent="0.3">
      <c r="A188" t="s">
        <v>367</v>
      </c>
      <c r="B188" t="s">
        <v>366</v>
      </c>
      <c r="C188" s="1">
        <v>45437</v>
      </c>
      <c r="D188" t="s">
        <v>42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28</v>
      </c>
      <c r="K188">
        <v>0</v>
      </c>
      <c r="L188">
        <v>0</v>
      </c>
    </row>
    <row r="189" spans="1:12" x14ac:dyDescent="0.3">
      <c r="A189" t="s">
        <v>368</v>
      </c>
      <c r="B189" t="s">
        <v>369</v>
      </c>
      <c r="C189" s="1">
        <v>45787</v>
      </c>
      <c r="D189" t="s">
        <v>18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28</v>
      </c>
      <c r="K189">
        <v>0</v>
      </c>
      <c r="L189">
        <v>0</v>
      </c>
    </row>
    <row r="190" spans="1:12" x14ac:dyDescent="0.3">
      <c r="A190" t="s">
        <v>370</v>
      </c>
      <c r="B190" t="s">
        <v>369</v>
      </c>
      <c r="C190" s="1">
        <v>45600</v>
      </c>
      <c r="D190" t="s">
        <v>22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16</v>
      </c>
      <c r="K190">
        <v>0</v>
      </c>
      <c r="L190">
        <v>0</v>
      </c>
    </row>
    <row r="191" spans="1:12" x14ac:dyDescent="0.3">
      <c r="A191" t="s">
        <v>371</v>
      </c>
      <c r="B191" t="s">
        <v>372</v>
      </c>
      <c r="C191" s="1">
        <v>45441</v>
      </c>
      <c r="D191" t="s">
        <v>39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63</v>
      </c>
      <c r="K191">
        <v>15</v>
      </c>
      <c r="L191">
        <v>0</v>
      </c>
    </row>
    <row r="192" spans="1:12" x14ac:dyDescent="0.3">
      <c r="A192" t="s">
        <v>373</v>
      </c>
      <c r="B192" t="s">
        <v>372</v>
      </c>
      <c r="C192" s="1">
        <v>45361</v>
      </c>
      <c r="D192" t="s">
        <v>31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19</v>
      </c>
      <c r="K192">
        <v>178</v>
      </c>
      <c r="L192">
        <v>1</v>
      </c>
    </row>
    <row r="193" spans="1:12" x14ac:dyDescent="0.3">
      <c r="A193" t="s">
        <v>374</v>
      </c>
      <c r="B193" t="s">
        <v>375</v>
      </c>
      <c r="C193" s="1">
        <v>45296</v>
      </c>
      <c r="D193" t="s">
        <v>22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28</v>
      </c>
      <c r="K193">
        <v>0</v>
      </c>
      <c r="L193">
        <v>0</v>
      </c>
    </row>
    <row r="194" spans="1:12" x14ac:dyDescent="0.3">
      <c r="A194" t="s">
        <v>376</v>
      </c>
      <c r="B194" t="s">
        <v>377</v>
      </c>
      <c r="C194" s="1">
        <v>45401</v>
      </c>
      <c r="D194" t="s">
        <v>15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19</v>
      </c>
      <c r="K194">
        <v>120</v>
      </c>
      <c r="L194">
        <v>1</v>
      </c>
    </row>
    <row r="195" spans="1:12" x14ac:dyDescent="0.3">
      <c r="A195" t="s">
        <v>378</v>
      </c>
      <c r="B195" t="s">
        <v>379</v>
      </c>
      <c r="C195" s="1">
        <v>45613</v>
      </c>
      <c r="D195" t="s">
        <v>18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19</v>
      </c>
      <c r="K195">
        <v>58</v>
      </c>
      <c r="L195">
        <v>1</v>
      </c>
    </row>
    <row r="196" spans="1:12" x14ac:dyDescent="0.3">
      <c r="A196" t="s">
        <v>380</v>
      </c>
      <c r="B196" t="s">
        <v>379</v>
      </c>
      <c r="C196" s="1">
        <v>45333</v>
      </c>
      <c r="D196" t="s">
        <v>22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19</v>
      </c>
      <c r="K196">
        <v>156</v>
      </c>
      <c r="L196">
        <v>1</v>
      </c>
    </row>
    <row r="197" spans="1:12" x14ac:dyDescent="0.3">
      <c r="A197" t="s">
        <v>381</v>
      </c>
      <c r="B197" t="s">
        <v>382</v>
      </c>
      <c r="C197" s="1">
        <v>45709</v>
      </c>
      <c r="D197" t="s">
        <v>25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19</v>
      </c>
      <c r="K197">
        <v>139</v>
      </c>
      <c r="L197">
        <v>1</v>
      </c>
    </row>
    <row r="198" spans="1:12" x14ac:dyDescent="0.3">
      <c r="A198" t="s">
        <v>383</v>
      </c>
      <c r="B198" t="s">
        <v>384</v>
      </c>
      <c r="C198" s="1">
        <v>45795</v>
      </c>
      <c r="D198" t="s">
        <v>37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28</v>
      </c>
      <c r="K198">
        <v>0</v>
      </c>
      <c r="L198">
        <v>0</v>
      </c>
    </row>
    <row r="199" spans="1:12" x14ac:dyDescent="0.3">
      <c r="A199" t="s">
        <v>385</v>
      </c>
      <c r="B199" t="s">
        <v>386</v>
      </c>
      <c r="C199" s="1">
        <v>45464</v>
      </c>
      <c r="D199" t="s">
        <v>37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19</v>
      </c>
      <c r="K199">
        <v>80</v>
      </c>
      <c r="L199">
        <v>1</v>
      </c>
    </row>
    <row r="200" spans="1:12" x14ac:dyDescent="0.3">
      <c r="A200" t="s">
        <v>387</v>
      </c>
      <c r="B200" t="s">
        <v>388</v>
      </c>
      <c r="C200" s="1">
        <v>45803</v>
      </c>
      <c r="D200" t="s">
        <v>48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19</v>
      </c>
      <c r="K200">
        <v>178</v>
      </c>
      <c r="L200">
        <v>1</v>
      </c>
    </row>
    <row r="201" spans="1:12" x14ac:dyDescent="0.3">
      <c r="A201" t="s">
        <v>389</v>
      </c>
      <c r="B201" t="s">
        <v>390</v>
      </c>
      <c r="C201" s="1">
        <v>45815</v>
      </c>
      <c r="D201" t="s">
        <v>18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28</v>
      </c>
      <c r="K201">
        <v>0</v>
      </c>
      <c r="L201">
        <v>0</v>
      </c>
    </row>
    <row r="202" spans="1:12" x14ac:dyDescent="0.3">
      <c r="A202" t="s">
        <v>391</v>
      </c>
      <c r="B202" t="s">
        <v>392</v>
      </c>
      <c r="C202" s="1">
        <v>45346</v>
      </c>
      <c r="D202" t="s">
        <v>15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28</v>
      </c>
      <c r="K202">
        <v>0</v>
      </c>
      <c r="L202">
        <v>0</v>
      </c>
    </row>
    <row r="203" spans="1:12" x14ac:dyDescent="0.3">
      <c r="A203" t="s">
        <v>393</v>
      </c>
      <c r="B203" t="s">
        <v>394</v>
      </c>
      <c r="C203" s="1">
        <v>45370</v>
      </c>
      <c r="D203" t="s">
        <v>48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28</v>
      </c>
      <c r="K203">
        <v>0</v>
      </c>
      <c r="L203">
        <v>0</v>
      </c>
    </row>
    <row r="204" spans="1:12" x14ac:dyDescent="0.3">
      <c r="A204" t="s">
        <v>395</v>
      </c>
      <c r="B204" t="s">
        <v>396</v>
      </c>
      <c r="C204" s="1">
        <v>45310</v>
      </c>
      <c r="D204" t="s">
        <v>25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28</v>
      </c>
      <c r="K204">
        <v>0</v>
      </c>
      <c r="L204">
        <v>0</v>
      </c>
    </row>
    <row r="205" spans="1:12" x14ac:dyDescent="0.3">
      <c r="A205" t="s">
        <v>397</v>
      </c>
      <c r="B205" t="s">
        <v>398</v>
      </c>
      <c r="C205" s="1">
        <v>45325</v>
      </c>
      <c r="D205" t="s">
        <v>18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16</v>
      </c>
      <c r="K205">
        <v>0</v>
      </c>
      <c r="L205">
        <v>0</v>
      </c>
    </row>
    <row r="206" spans="1:12" x14ac:dyDescent="0.3">
      <c r="A206" t="s">
        <v>399</v>
      </c>
      <c r="B206" t="s">
        <v>398</v>
      </c>
      <c r="C206" s="1">
        <v>45404</v>
      </c>
      <c r="D206" t="s">
        <v>34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28</v>
      </c>
      <c r="K206">
        <v>0</v>
      </c>
      <c r="L206">
        <v>0</v>
      </c>
    </row>
    <row r="207" spans="1:12" x14ac:dyDescent="0.3">
      <c r="A207" t="s">
        <v>400</v>
      </c>
      <c r="B207" t="s">
        <v>401</v>
      </c>
      <c r="C207" s="1">
        <v>45561</v>
      </c>
      <c r="D207" t="s">
        <v>15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63</v>
      </c>
      <c r="K207">
        <v>30</v>
      </c>
      <c r="L207">
        <v>0</v>
      </c>
    </row>
    <row r="208" spans="1:12" x14ac:dyDescent="0.3">
      <c r="A208" t="s">
        <v>402</v>
      </c>
      <c r="B208" t="s">
        <v>403</v>
      </c>
      <c r="C208" s="1">
        <v>45667</v>
      </c>
      <c r="D208" t="s">
        <v>25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28</v>
      </c>
      <c r="K208">
        <v>0</v>
      </c>
      <c r="L208">
        <v>0</v>
      </c>
    </row>
    <row r="209" spans="1:12" x14ac:dyDescent="0.3">
      <c r="A209" t="s">
        <v>404</v>
      </c>
      <c r="B209" t="s">
        <v>405</v>
      </c>
      <c r="C209" s="1">
        <v>45349</v>
      </c>
      <c r="D209" t="s">
        <v>31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63</v>
      </c>
      <c r="K209">
        <v>0</v>
      </c>
      <c r="L209">
        <v>0</v>
      </c>
    </row>
    <row r="210" spans="1:12" x14ac:dyDescent="0.3">
      <c r="A210" t="s">
        <v>406</v>
      </c>
      <c r="B210" t="s">
        <v>405</v>
      </c>
      <c r="C210" s="1">
        <v>45465</v>
      </c>
      <c r="D210" t="s">
        <v>48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19</v>
      </c>
      <c r="K210">
        <v>113</v>
      </c>
      <c r="L210">
        <v>1</v>
      </c>
    </row>
    <row r="211" spans="1:12" x14ac:dyDescent="0.3">
      <c r="A211" t="s">
        <v>407</v>
      </c>
      <c r="B211" t="s">
        <v>408</v>
      </c>
      <c r="C211" s="1">
        <v>45772</v>
      </c>
      <c r="D211" t="s">
        <v>18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63</v>
      </c>
      <c r="K211">
        <v>30</v>
      </c>
      <c r="L211">
        <v>0</v>
      </c>
    </row>
    <row r="212" spans="1:12" x14ac:dyDescent="0.3">
      <c r="A212" t="s">
        <v>409</v>
      </c>
      <c r="B212" t="s">
        <v>410</v>
      </c>
      <c r="C212" s="1">
        <v>45806</v>
      </c>
      <c r="D212" t="s">
        <v>48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28</v>
      </c>
      <c r="K212">
        <v>0</v>
      </c>
      <c r="L212">
        <v>0</v>
      </c>
    </row>
    <row r="213" spans="1:12" x14ac:dyDescent="0.3">
      <c r="A213" t="s">
        <v>411</v>
      </c>
      <c r="B213" t="s">
        <v>412</v>
      </c>
      <c r="C213" s="1">
        <v>45511</v>
      </c>
      <c r="D213" t="s">
        <v>18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19</v>
      </c>
      <c r="K213">
        <v>42</v>
      </c>
      <c r="L213">
        <v>1</v>
      </c>
    </row>
    <row r="214" spans="1:12" x14ac:dyDescent="0.3">
      <c r="A214" t="s">
        <v>413</v>
      </c>
      <c r="B214" t="s">
        <v>414</v>
      </c>
      <c r="C214" s="1">
        <v>45389</v>
      </c>
      <c r="D214" t="s">
        <v>48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28</v>
      </c>
      <c r="K214">
        <v>0</v>
      </c>
      <c r="L214">
        <v>0</v>
      </c>
    </row>
    <row r="215" spans="1:12" x14ac:dyDescent="0.3">
      <c r="A215" t="s">
        <v>415</v>
      </c>
      <c r="B215" t="s">
        <v>416</v>
      </c>
      <c r="C215" s="1">
        <v>45599</v>
      </c>
      <c r="D215" t="s">
        <v>18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19</v>
      </c>
      <c r="K215">
        <v>168</v>
      </c>
      <c r="L215">
        <v>1</v>
      </c>
    </row>
    <row r="216" spans="1:12" x14ac:dyDescent="0.3">
      <c r="A216" t="s">
        <v>417</v>
      </c>
      <c r="B216" t="s">
        <v>418</v>
      </c>
      <c r="C216" s="1">
        <v>45476</v>
      </c>
      <c r="D216" t="s">
        <v>18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28</v>
      </c>
      <c r="K216">
        <v>0</v>
      </c>
      <c r="L216">
        <v>0</v>
      </c>
    </row>
    <row r="217" spans="1:12" x14ac:dyDescent="0.3">
      <c r="A217" t="s">
        <v>419</v>
      </c>
      <c r="B217" t="s">
        <v>420</v>
      </c>
      <c r="C217" s="1">
        <v>45837</v>
      </c>
      <c r="D217" t="s">
        <v>15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63</v>
      </c>
      <c r="K217">
        <v>15</v>
      </c>
      <c r="L217">
        <v>0</v>
      </c>
    </row>
    <row r="218" spans="1:12" x14ac:dyDescent="0.3">
      <c r="A218" t="s">
        <v>421</v>
      </c>
      <c r="B218" t="s">
        <v>422</v>
      </c>
      <c r="C218" s="1">
        <v>45599</v>
      </c>
      <c r="D218" t="s">
        <v>42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16</v>
      </c>
      <c r="K218">
        <v>0</v>
      </c>
      <c r="L218">
        <v>0</v>
      </c>
    </row>
    <row r="219" spans="1:12" x14ac:dyDescent="0.3">
      <c r="A219" t="s">
        <v>423</v>
      </c>
      <c r="B219" t="s">
        <v>422</v>
      </c>
      <c r="C219" s="1">
        <v>45456</v>
      </c>
      <c r="D219" t="s">
        <v>37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28</v>
      </c>
      <c r="K219">
        <v>0</v>
      </c>
      <c r="L219">
        <v>0</v>
      </c>
    </row>
    <row r="220" spans="1:12" x14ac:dyDescent="0.3">
      <c r="A220" t="s">
        <v>424</v>
      </c>
      <c r="B220" t="s">
        <v>425</v>
      </c>
      <c r="C220" s="1">
        <v>45738</v>
      </c>
      <c r="D220" t="s">
        <v>39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63</v>
      </c>
      <c r="K220">
        <v>15</v>
      </c>
      <c r="L220">
        <v>0</v>
      </c>
    </row>
    <row r="221" spans="1:12" x14ac:dyDescent="0.3">
      <c r="A221" t="s">
        <v>426</v>
      </c>
      <c r="B221" t="s">
        <v>427</v>
      </c>
      <c r="C221" s="1">
        <v>45335</v>
      </c>
      <c r="D221" t="s">
        <v>42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28</v>
      </c>
      <c r="K221">
        <v>0</v>
      </c>
      <c r="L221">
        <v>0</v>
      </c>
    </row>
    <row r="222" spans="1:12" x14ac:dyDescent="0.3">
      <c r="A222" t="s">
        <v>428</v>
      </c>
      <c r="B222" t="s">
        <v>429</v>
      </c>
      <c r="C222" s="1">
        <v>45708</v>
      </c>
      <c r="D222" t="s">
        <v>37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16</v>
      </c>
      <c r="K222">
        <v>0</v>
      </c>
      <c r="L222">
        <v>0</v>
      </c>
    </row>
    <row r="223" spans="1:12" x14ac:dyDescent="0.3">
      <c r="A223" t="s">
        <v>430</v>
      </c>
      <c r="B223" t="s">
        <v>429</v>
      </c>
      <c r="C223" s="1">
        <v>45804</v>
      </c>
      <c r="D223" t="s">
        <v>18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16</v>
      </c>
      <c r="K223">
        <v>0</v>
      </c>
      <c r="L223">
        <v>0</v>
      </c>
    </row>
    <row r="224" spans="1:12" x14ac:dyDescent="0.3">
      <c r="A224" t="s">
        <v>431</v>
      </c>
      <c r="B224" t="s">
        <v>432</v>
      </c>
      <c r="C224" s="1">
        <v>45612</v>
      </c>
      <c r="D224" t="s">
        <v>22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28</v>
      </c>
      <c r="K224">
        <v>0</v>
      </c>
      <c r="L224">
        <v>0</v>
      </c>
    </row>
    <row r="225" spans="1:12" x14ac:dyDescent="0.3">
      <c r="A225" t="s">
        <v>433</v>
      </c>
      <c r="B225" t="s">
        <v>432</v>
      </c>
      <c r="C225" s="1">
        <v>45573</v>
      </c>
      <c r="D225" t="s">
        <v>39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28</v>
      </c>
      <c r="K225">
        <v>0</v>
      </c>
      <c r="L225">
        <v>0</v>
      </c>
    </row>
    <row r="226" spans="1:12" x14ac:dyDescent="0.3">
      <c r="A226" t="s">
        <v>434</v>
      </c>
      <c r="B226" t="s">
        <v>435</v>
      </c>
      <c r="C226" s="1">
        <v>45544</v>
      </c>
      <c r="D226" t="s">
        <v>31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63</v>
      </c>
      <c r="K226">
        <v>15</v>
      </c>
      <c r="L226">
        <v>0</v>
      </c>
    </row>
    <row r="227" spans="1:12" x14ac:dyDescent="0.3">
      <c r="A227" t="s">
        <v>436</v>
      </c>
      <c r="B227" t="s">
        <v>437</v>
      </c>
      <c r="C227" s="1">
        <v>45347</v>
      </c>
      <c r="D227" t="s">
        <v>31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28</v>
      </c>
      <c r="K227">
        <v>0</v>
      </c>
      <c r="L227">
        <v>0</v>
      </c>
    </row>
    <row r="228" spans="1:12" x14ac:dyDescent="0.3">
      <c r="A228" t="s">
        <v>438</v>
      </c>
      <c r="B228" t="s">
        <v>439</v>
      </c>
      <c r="C228" s="1">
        <v>45534</v>
      </c>
      <c r="D228" t="s">
        <v>25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16</v>
      </c>
      <c r="K228">
        <v>0</v>
      </c>
      <c r="L228">
        <v>0</v>
      </c>
    </row>
    <row r="229" spans="1:12" x14ac:dyDescent="0.3">
      <c r="A229" t="s">
        <v>440</v>
      </c>
      <c r="B229" t="s">
        <v>441</v>
      </c>
      <c r="C229" s="1">
        <v>45456</v>
      </c>
      <c r="D229" t="s">
        <v>25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16</v>
      </c>
      <c r="K229">
        <v>0</v>
      </c>
      <c r="L229">
        <v>0</v>
      </c>
    </row>
    <row r="230" spans="1:12" x14ac:dyDescent="0.3">
      <c r="A230" t="s">
        <v>442</v>
      </c>
      <c r="B230" t="s">
        <v>443</v>
      </c>
      <c r="C230" s="1">
        <v>45795</v>
      </c>
      <c r="D230" t="s">
        <v>18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16</v>
      </c>
      <c r="K230">
        <v>0</v>
      </c>
      <c r="L230">
        <v>0</v>
      </c>
    </row>
    <row r="231" spans="1:12" x14ac:dyDescent="0.3">
      <c r="A231" t="s">
        <v>444</v>
      </c>
      <c r="B231" t="s">
        <v>445</v>
      </c>
      <c r="C231" s="1">
        <v>45722</v>
      </c>
      <c r="D231" t="s">
        <v>37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16</v>
      </c>
      <c r="K231">
        <v>0</v>
      </c>
      <c r="L231">
        <v>0</v>
      </c>
    </row>
    <row r="232" spans="1:12" x14ac:dyDescent="0.3">
      <c r="A232" t="s">
        <v>446</v>
      </c>
      <c r="B232" t="s">
        <v>447</v>
      </c>
      <c r="C232" s="1">
        <v>45431</v>
      </c>
      <c r="D232" t="s">
        <v>42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19</v>
      </c>
      <c r="K232">
        <v>81</v>
      </c>
      <c r="L232">
        <v>1</v>
      </c>
    </row>
    <row r="233" spans="1:12" x14ac:dyDescent="0.3">
      <c r="A233" t="s">
        <v>448</v>
      </c>
      <c r="B233" t="s">
        <v>449</v>
      </c>
      <c r="C233" s="1">
        <v>45425</v>
      </c>
      <c r="D233" t="s">
        <v>31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16</v>
      </c>
      <c r="K233">
        <v>0</v>
      </c>
      <c r="L233">
        <v>0</v>
      </c>
    </row>
    <row r="234" spans="1:12" x14ac:dyDescent="0.3">
      <c r="A234" t="s">
        <v>450</v>
      </c>
      <c r="B234" t="s">
        <v>451</v>
      </c>
      <c r="C234" s="1">
        <v>45627</v>
      </c>
      <c r="D234" t="s">
        <v>15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28</v>
      </c>
      <c r="K234">
        <v>0</v>
      </c>
      <c r="L234">
        <v>0</v>
      </c>
    </row>
    <row r="235" spans="1:12" x14ac:dyDescent="0.3">
      <c r="A235" t="s">
        <v>452</v>
      </c>
      <c r="B235" t="s">
        <v>453</v>
      </c>
      <c r="C235" s="1">
        <v>45315</v>
      </c>
      <c r="D235" t="s">
        <v>18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63</v>
      </c>
      <c r="K235">
        <v>0</v>
      </c>
      <c r="L235">
        <v>0</v>
      </c>
    </row>
    <row r="236" spans="1:12" x14ac:dyDescent="0.3">
      <c r="A236" t="s">
        <v>454</v>
      </c>
      <c r="B236" t="s">
        <v>455</v>
      </c>
      <c r="C236" s="1">
        <v>45731</v>
      </c>
      <c r="D236" t="s">
        <v>15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16</v>
      </c>
      <c r="K236">
        <v>0</v>
      </c>
      <c r="L236">
        <v>0</v>
      </c>
    </row>
    <row r="237" spans="1:12" x14ac:dyDescent="0.3">
      <c r="A237" t="s">
        <v>456</v>
      </c>
      <c r="B237" t="s">
        <v>455</v>
      </c>
      <c r="C237" s="1">
        <v>45756</v>
      </c>
      <c r="D237" t="s">
        <v>34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28</v>
      </c>
      <c r="K237">
        <v>0</v>
      </c>
      <c r="L237">
        <v>0</v>
      </c>
    </row>
    <row r="238" spans="1:12" x14ac:dyDescent="0.3">
      <c r="A238" t="s">
        <v>457</v>
      </c>
      <c r="B238" t="s">
        <v>458</v>
      </c>
      <c r="C238" s="1">
        <v>45503</v>
      </c>
      <c r="D238" t="s">
        <v>25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63</v>
      </c>
      <c r="K238">
        <v>30</v>
      </c>
      <c r="L238">
        <v>0</v>
      </c>
    </row>
    <row r="239" spans="1:12" x14ac:dyDescent="0.3">
      <c r="A239" t="s">
        <v>459</v>
      </c>
      <c r="B239" t="s">
        <v>460</v>
      </c>
      <c r="C239" s="1">
        <v>45560</v>
      </c>
      <c r="D239" t="s">
        <v>18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28</v>
      </c>
      <c r="K239">
        <v>0</v>
      </c>
      <c r="L239">
        <v>0</v>
      </c>
    </row>
    <row r="240" spans="1:12" x14ac:dyDescent="0.3">
      <c r="A240" t="s">
        <v>461</v>
      </c>
      <c r="B240" t="s">
        <v>462</v>
      </c>
      <c r="C240" s="1">
        <v>45699</v>
      </c>
      <c r="D240" t="s">
        <v>15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16</v>
      </c>
      <c r="K240">
        <v>0</v>
      </c>
      <c r="L240">
        <v>0</v>
      </c>
    </row>
    <row r="241" spans="1:12" x14ac:dyDescent="0.3">
      <c r="A241" t="s">
        <v>463</v>
      </c>
      <c r="B241" t="s">
        <v>464</v>
      </c>
      <c r="C241" s="1">
        <v>45532</v>
      </c>
      <c r="D241" t="s">
        <v>25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63</v>
      </c>
      <c r="K241">
        <v>0</v>
      </c>
      <c r="L241">
        <v>0</v>
      </c>
    </row>
    <row r="242" spans="1:12" x14ac:dyDescent="0.3">
      <c r="A242" t="s">
        <v>465</v>
      </c>
      <c r="B242" t="s">
        <v>466</v>
      </c>
      <c r="C242" s="1">
        <v>45682</v>
      </c>
      <c r="D242" t="s">
        <v>48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19</v>
      </c>
      <c r="K242">
        <v>131</v>
      </c>
      <c r="L242">
        <v>1</v>
      </c>
    </row>
    <row r="243" spans="1:12" x14ac:dyDescent="0.3">
      <c r="A243" t="s">
        <v>467</v>
      </c>
      <c r="B243" t="s">
        <v>468</v>
      </c>
      <c r="C243" s="1">
        <v>45465</v>
      </c>
      <c r="D243" t="s">
        <v>34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19</v>
      </c>
      <c r="K243">
        <v>116</v>
      </c>
      <c r="L243">
        <v>1</v>
      </c>
    </row>
    <row r="244" spans="1:12" x14ac:dyDescent="0.3">
      <c r="A244" t="s">
        <v>469</v>
      </c>
      <c r="B244" t="s">
        <v>470</v>
      </c>
      <c r="C244" s="1">
        <v>45411</v>
      </c>
      <c r="D244" t="s">
        <v>34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63</v>
      </c>
      <c r="K244">
        <v>30</v>
      </c>
      <c r="L244">
        <v>0</v>
      </c>
    </row>
    <row r="245" spans="1:12" x14ac:dyDescent="0.3">
      <c r="A245" t="s">
        <v>471</v>
      </c>
      <c r="B245" t="s">
        <v>470</v>
      </c>
      <c r="C245" s="1">
        <v>45561</v>
      </c>
      <c r="D245" t="s">
        <v>25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28</v>
      </c>
      <c r="K245">
        <v>0</v>
      </c>
      <c r="L245">
        <v>0</v>
      </c>
    </row>
    <row r="246" spans="1:12" x14ac:dyDescent="0.3">
      <c r="A246" t="s">
        <v>472</v>
      </c>
      <c r="B246" t="s">
        <v>473</v>
      </c>
      <c r="C246" s="1">
        <v>45742</v>
      </c>
      <c r="D246" t="s">
        <v>34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19</v>
      </c>
      <c r="K246">
        <v>68</v>
      </c>
      <c r="L246">
        <v>1</v>
      </c>
    </row>
    <row r="247" spans="1:12" x14ac:dyDescent="0.3">
      <c r="A247" t="s">
        <v>474</v>
      </c>
      <c r="B247" t="s">
        <v>475</v>
      </c>
      <c r="C247" s="1">
        <v>45798</v>
      </c>
      <c r="D247" t="s">
        <v>34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19</v>
      </c>
      <c r="K247">
        <v>121</v>
      </c>
      <c r="L247">
        <v>1</v>
      </c>
    </row>
    <row r="248" spans="1:12" x14ac:dyDescent="0.3">
      <c r="A248" t="s">
        <v>476</v>
      </c>
      <c r="B248" t="s">
        <v>477</v>
      </c>
      <c r="C248" s="1">
        <v>45387</v>
      </c>
      <c r="D248" t="s">
        <v>22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16</v>
      </c>
      <c r="K248">
        <v>0</v>
      </c>
      <c r="L248">
        <v>0</v>
      </c>
    </row>
    <row r="249" spans="1:12" x14ac:dyDescent="0.3">
      <c r="A249" t="s">
        <v>478</v>
      </c>
      <c r="B249" t="s">
        <v>477</v>
      </c>
      <c r="C249" s="1">
        <v>45296</v>
      </c>
      <c r="D249" t="s">
        <v>22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28</v>
      </c>
      <c r="K249">
        <v>0</v>
      </c>
      <c r="L249">
        <v>0</v>
      </c>
    </row>
    <row r="250" spans="1:12" x14ac:dyDescent="0.3">
      <c r="A250" t="s">
        <v>479</v>
      </c>
      <c r="B250" t="s">
        <v>480</v>
      </c>
      <c r="C250" s="1">
        <v>45416</v>
      </c>
      <c r="D250" t="s">
        <v>15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16</v>
      </c>
      <c r="K250">
        <v>0</v>
      </c>
      <c r="L250">
        <v>0</v>
      </c>
    </row>
    <row r="251" spans="1:12" x14ac:dyDescent="0.3">
      <c r="A251" t="s">
        <v>481</v>
      </c>
      <c r="B251" t="s">
        <v>482</v>
      </c>
      <c r="C251" s="1">
        <v>45567</v>
      </c>
      <c r="D251" t="s">
        <v>34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16</v>
      </c>
      <c r="K251">
        <v>0</v>
      </c>
      <c r="L251">
        <v>0</v>
      </c>
    </row>
    <row r="252" spans="1:12" x14ac:dyDescent="0.3">
      <c r="A252" t="s">
        <v>483</v>
      </c>
      <c r="B252" t="s">
        <v>482</v>
      </c>
      <c r="C252" s="1">
        <v>45341</v>
      </c>
      <c r="D252" t="s">
        <v>48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16</v>
      </c>
      <c r="K252">
        <v>0</v>
      </c>
      <c r="L252">
        <v>0</v>
      </c>
    </row>
    <row r="253" spans="1:12" x14ac:dyDescent="0.3">
      <c r="A253" t="s">
        <v>484</v>
      </c>
      <c r="B253" t="s">
        <v>485</v>
      </c>
      <c r="C253" s="1">
        <v>45537</v>
      </c>
      <c r="D253" t="s">
        <v>22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63</v>
      </c>
      <c r="K253">
        <v>15</v>
      </c>
      <c r="L253">
        <v>0</v>
      </c>
    </row>
    <row r="254" spans="1:12" x14ac:dyDescent="0.3">
      <c r="A254" t="s">
        <v>486</v>
      </c>
      <c r="B254" t="s">
        <v>487</v>
      </c>
      <c r="C254" s="1">
        <v>45794</v>
      </c>
      <c r="D254" t="s">
        <v>34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16</v>
      </c>
      <c r="K254">
        <v>0</v>
      </c>
      <c r="L254">
        <v>0</v>
      </c>
    </row>
    <row r="255" spans="1:12" x14ac:dyDescent="0.3">
      <c r="A255" t="s">
        <v>488</v>
      </c>
      <c r="B255" t="s">
        <v>487</v>
      </c>
      <c r="C255" s="1">
        <v>45793</v>
      </c>
      <c r="D255" t="s">
        <v>48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28</v>
      </c>
      <c r="K255">
        <v>0</v>
      </c>
      <c r="L255">
        <v>0</v>
      </c>
    </row>
    <row r="256" spans="1:12" x14ac:dyDescent="0.3">
      <c r="A256" t="s">
        <v>489</v>
      </c>
      <c r="B256" t="s">
        <v>490</v>
      </c>
      <c r="C256" s="1">
        <v>45728</v>
      </c>
      <c r="D256" t="s">
        <v>37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19</v>
      </c>
      <c r="K256">
        <v>161</v>
      </c>
      <c r="L256">
        <v>1</v>
      </c>
    </row>
    <row r="257" spans="1:12" x14ac:dyDescent="0.3">
      <c r="A257" t="s">
        <v>491</v>
      </c>
      <c r="B257" t="s">
        <v>492</v>
      </c>
      <c r="C257" s="1">
        <v>45831</v>
      </c>
      <c r="D257" t="s">
        <v>15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28</v>
      </c>
      <c r="K257">
        <v>0</v>
      </c>
      <c r="L257">
        <v>0</v>
      </c>
    </row>
    <row r="258" spans="1:12" x14ac:dyDescent="0.3">
      <c r="A258" t="s">
        <v>493</v>
      </c>
      <c r="B258" t="s">
        <v>494</v>
      </c>
      <c r="C258" s="1">
        <v>45827</v>
      </c>
      <c r="D258" t="s">
        <v>15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28</v>
      </c>
      <c r="K258">
        <v>0</v>
      </c>
      <c r="L258">
        <v>0</v>
      </c>
    </row>
    <row r="259" spans="1:12" x14ac:dyDescent="0.3">
      <c r="A259" t="s">
        <v>495</v>
      </c>
      <c r="B259" t="s">
        <v>496</v>
      </c>
      <c r="C259" s="1">
        <v>45551</v>
      </c>
      <c r="D259" t="s">
        <v>22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19</v>
      </c>
      <c r="K259">
        <v>179</v>
      </c>
      <c r="L259">
        <v>1</v>
      </c>
    </row>
    <row r="260" spans="1:12" x14ac:dyDescent="0.3">
      <c r="A260" t="s">
        <v>497</v>
      </c>
      <c r="B260" t="s">
        <v>496</v>
      </c>
      <c r="C260" s="1">
        <v>45478</v>
      </c>
      <c r="D260" t="s">
        <v>37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28</v>
      </c>
      <c r="K260">
        <v>0</v>
      </c>
      <c r="L260">
        <v>0</v>
      </c>
    </row>
    <row r="261" spans="1:12" x14ac:dyDescent="0.3">
      <c r="A261" t="s">
        <v>498</v>
      </c>
      <c r="B261" t="s">
        <v>499</v>
      </c>
      <c r="C261" s="1">
        <v>45563</v>
      </c>
      <c r="D261" t="s">
        <v>31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63</v>
      </c>
      <c r="K261">
        <v>15</v>
      </c>
      <c r="L261">
        <v>0</v>
      </c>
    </row>
    <row r="262" spans="1:12" x14ac:dyDescent="0.3">
      <c r="A262" t="s">
        <v>500</v>
      </c>
      <c r="B262" t="s">
        <v>501</v>
      </c>
      <c r="C262" s="1">
        <v>45310</v>
      </c>
      <c r="D262" t="s">
        <v>37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19</v>
      </c>
      <c r="K262">
        <v>59</v>
      </c>
      <c r="L262">
        <v>1</v>
      </c>
    </row>
    <row r="263" spans="1:12" x14ac:dyDescent="0.3">
      <c r="A263" t="s">
        <v>502</v>
      </c>
      <c r="B263" t="s">
        <v>503</v>
      </c>
      <c r="C263" s="1">
        <v>45602</v>
      </c>
      <c r="D263" t="s">
        <v>15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63</v>
      </c>
      <c r="K263">
        <v>30</v>
      </c>
      <c r="L263">
        <v>0</v>
      </c>
    </row>
    <row r="264" spans="1:12" x14ac:dyDescent="0.3">
      <c r="A264" t="s">
        <v>504</v>
      </c>
      <c r="B264" t="s">
        <v>505</v>
      </c>
      <c r="C264" s="1">
        <v>45406</v>
      </c>
      <c r="D264" t="s">
        <v>18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28</v>
      </c>
      <c r="K264">
        <v>0</v>
      </c>
      <c r="L264">
        <v>0</v>
      </c>
    </row>
    <row r="265" spans="1:12" x14ac:dyDescent="0.3">
      <c r="A265" t="s">
        <v>506</v>
      </c>
      <c r="B265" t="s">
        <v>507</v>
      </c>
      <c r="C265" s="1">
        <v>45487</v>
      </c>
      <c r="D265" t="s">
        <v>15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28</v>
      </c>
      <c r="K265">
        <v>0</v>
      </c>
      <c r="L265">
        <v>0</v>
      </c>
    </row>
    <row r="266" spans="1:12" x14ac:dyDescent="0.3">
      <c r="A266" t="s">
        <v>508</v>
      </c>
      <c r="B266" t="s">
        <v>509</v>
      </c>
      <c r="C266" s="1">
        <v>45774</v>
      </c>
      <c r="D266" t="s">
        <v>37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19</v>
      </c>
      <c r="K266">
        <v>145</v>
      </c>
      <c r="L266">
        <v>1</v>
      </c>
    </row>
    <row r="267" spans="1:12" x14ac:dyDescent="0.3">
      <c r="A267" t="s">
        <v>510</v>
      </c>
      <c r="B267" t="s">
        <v>511</v>
      </c>
      <c r="C267" s="1">
        <v>45300</v>
      </c>
      <c r="D267" t="s">
        <v>39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19</v>
      </c>
      <c r="K267">
        <v>140</v>
      </c>
      <c r="L267">
        <v>1</v>
      </c>
    </row>
    <row r="268" spans="1:12" x14ac:dyDescent="0.3">
      <c r="A268" t="s">
        <v>512</v>
      </c>
      <c r="B268" t="s">
        <v>513</v>
      </c>
      <c r="C268" s="1">
        <v>45329</v>
      </c>
      <c r="D268" t="s">
        <v>15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28</v>
      </c>
      <c r="K268">
        <v>0</v>
      </c>
      <c r="L268">
        <v>0</v>
      </c>
    </row>
    <row r="269" spans="1:12" x14ac:dyDescent="0.3">
      <c r="A269" t="s">
        <v>514</v>
      </c>
      <c r="B269" t="s">
        <v>513</v>
      </c>
      <c r="C269" s="1">
        <v>45354</v>
      </c>
      <c r="D269" t="s">
        <v>48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28</v>
      </c>
      <c r="K269">
        <v>0</v>
      </c>
      <c r="L269">
        <v>0</v>
      </c>
    </row>
    <row r="270" spans="1:12" x14ac:dyDescent="0.3">
      <c r="A270" t="s">
        <v>515</v>
      </c>
      <c r="B270" t="s">
        <v>516</v>
      </c>
      <c r="C270" s="1">
        <v>45647</v>
      </c>
      <c r="D270" t="s">
        <v>18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28</v>
      </c>
      <c r="K270">
        <v>0</v>
      </c>
      <c r="L270">
        <v>0</v>
      </c>
    </row>
    <row r="271" spans="1:12" x14ac:dyDescent="0.3">
      <c r="A271" t="s">
        <v>517</v>
      </c>
      <c r="B271" t="s">
        <v>518</v>
      </c>
      <c r="C271" s="1">
        <v>45639</v>
      </c>
      <c r="D271" t="s">
        <v>15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63</v>
      </c>
      <c r="K271">
        <v>15</v>
      </c>
      <c r="L271">
        <v>0</v>
      </c>
    </row>
    <row r="272" spans="1:12" x14ac:dyDescent="0.3">
      <c r="A272" t="s">
        <v>519</v>
      </c>
      <c r="B272" t="s">
        <v>520</v>
      </c>
      <c r="C272" s="1">
        <v>45660</v>
      </c>
      <c r="D272" t="s">
        <v>25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16</v>
      </c>
      <c r="K272">
        <v>0</v>
      </c>
      <c r="L272">
        <v>0</v>
      </c>
    </row>
    <row r="273" spans="1:12" x14ac:dyDescent="0.3">
      <c r="A273" t="s">
        <v>521</v>
      </c>
      <c r="B273" t="s">
        <v>522</v>
      </c>
      <c r="C273" s="1">
        <v>45496</v>
      </c>
      <c r="D273" t="s">
        <v>25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19</v>
      </c>
      <c r="K273">
        <v>155</v>
      </c>
      <c r="L273">
        <v>1</v>
      </c>
    </row>
    <row r="274" spans="1:12" x14ac:dyDescent="0.3">
      <c r="A274" t="s">
        <v>523</v>
      </c>
      <c r="B274" t="s">
        <v>524</v>
      </c>
      <c r="C274" s="1">
        <v>45340</v>
      </c>
      <c r="D274" t="s">
        <v>18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28</v>
      </c>
      <c r="K274">
        <v>0</v>
      </c>
      <c r="L274">
        <v>0</v>
      </c>
    </row>
    <row r="275" spans="1:12" x14ac:dyDescent="0.3">
      <c r="A275" t="s">
        <v>525</v>
      </c>
      <c r="B275" t="s">
        <v>526</v>
      </c>
      <c r="C275" s="1">
        <v>45637</v>
      </c>
      <c r="D275" t="s">
        <v>34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19</v>
      </c>
      <c r="K275">
        <v>88</v>
      </c>
      <c r="L275">
        <v>1</v>
      </c>
    </row>
    <row r="276" spans="1:12" x14ac:dyDescent="0.3">
      <c r="A276" t="s">
        <v>527</v>
      </c>
      <c r="B276" t="s">
        <v>528</v>
      </c>
      <c r="C276" s="1">
        <v>45565</v>
      </c>
      <c r="D276" t="s">
        <v>39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63</v>
      </c>
      <c r="K276">
        <v>15</v>
      </c>
      <c r="L276">
        <v>0</v>
      </c>
    </row>
    <row r="277" spans="1:12" x14ac:dyDescent="0.3">
      <c r="A277" t="s">
        <v>529</v>
      </c>
      <c r="B277" t="s">
        <v>530</v>
      </c>
      <c r="C277" s="1">
        <v>45405</v>
      </c>
      <c r="D277" t="s">
        <v>37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63</v>
      </c>
      <c r="K277">
        <v>0</v>
      </c>
      <c r="L277">
        <v>0</v>
      </c>
    </row>
    <row r="278" spans="1:12" x14ac:dyDescent="0.3">
      <c r="A278" t="s">
        <v>531</v>
      </c>
      <c r="B278" t="s">
        <v>532</v>
      </c>
      <c r="C278" s="1">
        <v>45412</v>
      </c>
      <c r="D278" t="s">
        <v>37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63</v>
      </c>
      <c r="K278">
        <v>15</v>
      </c>
      <c r="L278">
        <v>0</v>
      </c>
    </row>
    <row r="279" spans="1:12" x14ac:dyDescent="0.3">
      <c r="A279" t="s">
        <v>533</v>
      </c>
      <c r="B279" t="s">
        <v>532</v>
      </c>
      <c r="C279" s="1">
        <v>45393</v>
      </c>
      <c r="D279" t="s">
        <v>25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19</v>
      </c>
      <c r="K279">
        <v>123</v>
      </c>
      <c r="L279">
        <v>1</v>
      </c>
    </row>
    <row r="280" spans="1:12" x14ac:dyDescent="0.3">
      <c r="A280" t="s">
        <v>534</v>
      </c>
      <c r="B280" t="s">
        <v>535</v>
      </c>
      <c r="C280" s="1">
        <v>45298</v>
      </c>
      <c r="D280" t="s">
        <v>34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28</v>
      </c>
      <c r="K280">
        <v>0</v>
      </c>
      <c r="L280">
        <v>0</v>
      </c>
    </row>
    <row r="281" spans="1:12" x14ac:dyDescent="0.3">
      <c r="A281" t="s">
        <v>536</v>
      </c>
      <c r="B281" t="s">
        <v>537</v>
      </c>
      <c r="C281" s="1">
        <v>45543</v>
      </c>
      <c r="D281" t="s">
        <v>37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28</v>
      </c>
      <c r="K281">
        <v>0</v>
      </c>
      <c r="L281">
        <v>0</v>
      </c>
    </row>
    <row r="282" spans="1:12" x14ac:dyDescent="0.3">
      <c r="A282" t="s">
        <v>538</v>
      </c>
      <c r="B282" t="s">
        <v>539</v>
      </c>
      <c r="C282" s="1">
        <v>45820</v>
      </c>
      <c r="D282" t="s">
        <v>18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28</v>
      </c>
      <c r="K282">
        <v>0</v>
      </c>
      <c r="L282">
        <v>0</v>
      </c>
    </row>
    <row r="283" spans="1:12" x14ac:dyDescent="0.3">
      <c r="A283" t="s">
        <v>540</v>
      </c>
      <c r="B283" t="s">
        <v>541</v>
      </c>
      <c r="C283" s="1">
        <v>45614</v>
      </c>
      <c r="D283" t="s">
        <v>42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28</v>
      </c>
      <c r="K283">
        <v>0</v>
      </c>
      <c r="L283">
        <v>0</v>
      </c>
    </row>
    <row r="284" spans="1:12" x14ac:dyDescent="0.3">
      <c r="A284" t="s">
        <v>542</v>
      </c>
      <c r="B284" t="s">
        <v>543</v>
      </c>
      <c r="C284" s="1">
        <v>45824</v>
      </c>
      <c r="D284" t="s">
        <v>42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16</v>
      </c>
      <c r="K284">
        <v>0</v>
      </c>
      <c r="L284">
        <v>0</v>
      </c>
    </row>
    <row r="285" spans="1:12" x14ac:dyDescent="0.3">
      <c r="A285" t="s">
        <v>544</v>
      </c>
      <c r="B285" t="s">
        <v>545</v>
      </c>
      <c r="C285" s="1">
        <v>45578</v>
      </c>
      <c r="D285" t="s">
        <v>25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28</v>
      </c>
      <c r="K285">
        <v>0</v>
      </c>
      <c r="L285">
        <v>0</v>
      </c>
    </row>
    <row r="286" spans="1:12" x14ac:dyDescent="0.3">
      <c r="A286" t="s">
        <v>546</v>
      </c>
      <c r="B286" t="s">
        <v>547</v>
      </c>
      <c r="C286" s="1">
        <v>45645</v>
      </c>
      <c r="D286" t="s">
        <v>39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28</v>
      </c>
      <c r="K286">
        <v>0</v>
      </c>
      <c r="L286">
        <v>0</v>
      </c>
    </row>
    <row r="287" spans="1:12" x14ac:dyDescent="0.3">
      <c r="A287" t="s">
        <v>548</v>
      </c>
      <c r="B287" t="s">
        <v>549</v>
      </c>
      <c r="C287" s="1">
        <v>45421</v>
      </c>
      <c r="D287" t="s">
        <v>25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28</v>
      </c>
      <c r="K287">
        <v>0</v>
      </c>
      <c r="L287">
        <v>0</v>
      </c>
    </row>
    <row r="288" spans="1:12" x14ac:dyDescent="0.3">
      <c r="A288" t="s">
        <v>550</v>
      </c>
      <c r="B288" t="s">
        <v>551</v>
      </c>
      <c r="C288" s="1">
        <v>45556</v>
      </c>
      <c r="D288" t="s">
        <v>25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16</v>
      </c>
      <c r="K288">
        <v>0</v>
      </c>
      <c r="L288">
        <v>0</v>
      </c>
    </row>
    <row r="289" spans="1:12" x14ac:dyDescent="0.3">
      <c r="A289" t="s">
        <v>552</v>
      </c>
      <c r="B289" t="s">
        <v>553</v>
      </c>
      <c r="C289" s="1">
        <v>45654</v>
      </c>
      <c r="D289" t="s">
        <v>37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19</v>
      </c>
      <c r="K289">
        <v>61</v>
      </c>
      <c r="L289">
        <v>1</v>
      </c>
    </row>
    <row r="290" spans="1:12" x14ac:dyDescent="0.3">
      <c r="A290" t="s">
        <v>554</v>
      </c>
      <c r="B290" t="s">
        <v>553</v>
      </c>
      <c r="C290" s="1">
        <v>45533</v>
      </c>
      <c r="D290" t="s">
        <v>15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63</v>
      </c>
      <c r="K290">
        <v>30</v>
      </c>
      <c r="L290">
        <v>0</v>
      </c>
    </row>
    <row r="291" spans="1:12" x14ac:dyDescent="0.3">
      <c r="A291" t="s">
        <v>555</v>
      </c>
      <c r="B291" t="s">
        <v>556</v>
      </c>
      <c r="C291" s="1">
        <v>45435</v>
      </c>
      <c r="D291" t="s">
        <v>22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28</v>
      </c>
      <c r="K291">
        <v>0</v>
      </c>
      <c r="L291">
        <v>0</v>
      </c>
    </row>
    <row r="292" spans="1:12" x14ac:dyDescent="0.3">
      <c r="A292" t="s">
        <v>557</v>
      </c>
      <c r="B292" t="s">
        <v>556</v>
      </c>
      <c r="C292" s="1">
        <v>45442</v>
      </c>
      <c r="D292" t="s">
        <v>31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28</v>
      </c>
      <c r="K292">
        <v>0</v>
      </c>
      <c r="L292">
        <v>0</v>
      </c>
    </row>
    <row r="293" spans="1:12" x14ac:dyDescent="0.3">
      <c r="A293" t="s">
        <v>558</v>
      </c>
      <c r="B293" t="s">
        <v>559</v>
      </c>
      <c r="C293" s="1">
        <v>45704</v>
      </c>
      <c r="D293" t="s">
        <v>34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28</v>
      </c>
      <c r="K293">
        <v>0</v>
      </c>
      <c r="L293">
        <v>0</v>
      </c>
    </row>
    <row r="294" spans="1:12" x14ac:dyDescent="0.3">
      <c r="A294" t="s">
        <v>560</v>
      </c>
      <c r="B294" t="s">
        <v>561</v>
      </c>
      <c r="C294" s="1">
        <v>45718</v>
      </c>
      <c r="D294" t="s">
        <v>15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28</v>
      </c>
      <c r="K294">
        <v>0</v>
      </c>
      <c r="L294">
        <v>0</v>
      </c>
    </row>
    <row r="295" spans="1:12" x14ac:dyDescent="0.3">
      <c r="A295" t="s">
        <v>562</v>
      </c>
      <c r="B295" t="s">
        <v>563</v>
      </c>
      <c r="C295" s="1">
        <v>45509</v>
      </c>
      <c r="D295" t="s">
        <v>34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28</v>
      </c>
      <c r="K295">
        <v>0</v>
      </c>
      <c r="L295">
        <v>0</v>
      </c>
    </row>
    <row r="296" spans="1:12" x14ac:dyDescent="0.3">
      <c r="A296" t="s">
        <v>564</v>
      </c>
      <c r="B296" t="s">
        <v>565</v>
      </c>
      <c r="C296" s="1">
        <v>45588</v>
      </c>
      <c r="D296" t="s">
        <v>37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19</v>
      </c>
      <c r="K296">
        <v>69</v>
      </c>
      <c r="L296">
        <v>1</v>
      </c>
    </row>
    <row r="297" spans="1:12" x14ac:dyDescent="0.3">
      <c r="A297" t="s">
        <v>566</v>
      </c>
      <c r="B297" t="s">
        <v>567</v>
      </c>
      <c r="C297" s="1">
        <v>45438</v>
      </c>
      <c r="D297" t="s">
        <v>25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28</v>
      </c>
      <c r="K297">
        <v>0</v>
      </c>
      <c r="L297">
        <v>0</v>
      </c>
    </row>
    <row r="298" spans="1:12" x14ac:dyDescent="0.3">
      <c r="A298" t="s">
        <v>568</v>
      </c>
      <c r="B298" t="s">
        <v>569</v>
      </c>
      <c r="C298" s="1">
        <v>45649</v>
      </c>
      <c r="D298" t="s">
        <v>25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19</v>
      </c>
      <c r="K298">
        <v>41</v>
      </c>
      <c r="L298">
        <v>1</v>
      </c>
    </row>
    <row r="299" spans="1:12" x14ac:dyDescent="0.3">
      <c r="A299" t="s">
        <v>570</v>
      </c>
      <c r="B299" t="s">
        <v>569</v>
      </c>
      <c r="C299" s="1">
        <v>45678</v>
      </c>
      <c r="D299" t="s">
        <v>18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63</v>
      </c>
      <c r="K299">
        <v>0</v>
      </c>
      <c r="L299">
        <v>0</v>
      </c>
    </row>
    <row r="300" spans="1:12" x14ac:dyDescent="0.3">
      <c r="A300" t="s">
        <v>571</v>
      </c>
      <c r="B300" t="s">
        <v>572</v>
      </c>
      <c r="C300" s="1">
        <v>45625</v>
      </c>
      <c r="D300" t="s">
        <v>22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19</v>
      </c>
      <c r="K300">
        <v>134</v>
      </c>
      <c r="L300">
        <v>1</v>
      </c>
    </row>
    <row r="301" spans="1:12" x14ac:dyDescent="0.3">
      <c r="A301" t="s">
        <v>573</v>
      </c>
      <c r="B301" t="s">
        <v>574</v>
      </c>
      <c r="C301" s="1">
        <v>45382</v>
      </c>
      <c r="D301" t="s">
        <v>18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28</v>
      </c>
      <c r="K301">
        <v>0</v>
      </c>
      <c r="L301">
        <v>0</v>
      </c>
    </row>
    <row r="302" spans="1:12" x14ac:dyDescent="0.3">
      <c r="A302" t="s">
        <v>575</v>
      </c>
      <c r="B302" t="s">
        <v>576</v>
      </c>
      <c r="C302" s="1">
        <v>45346</v>
      </c>
      <c r="D302" t="s">
        <v>25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16</v>
      </c>
      <c r="K302">
        <v>0</v>
      </c>
      <c r="L302">
        <v>0</v>
      </c>
    </row>
    <row r="303" spans="1:12" x14ac:dyDescent="0.3">
      <c r="A303" t="s">
        <v>577</v>
      </c>
      <c r="B303" t="s">
        <v>578</v>
      </c>
      <c r="C303" s="1">
        <v>45573</v>
      </c>
      <c r="D303" t="s">
        <v>42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16</v>
      </c>
      <c r="K303">
        <v>0</v>
      </c>
      <c r="L303">
        <v>0</v>
      </c>
    </row>
    <row r="304" spans="1:12" x14ac:dyDescent="0.3">
      <c r="A304" t="s">
        <v>579</v>
      </c>
      <c r="B304" t="s">
        <v>580</v>
      </c>
      <c r="C304" s="1">
        <v>45338</v>
      </c>
      <c r="D304" t="s">
        <v>15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63</v>
      </c>
      <c r="K304">
        <v>15</v>
      </c>
      <c r="L304">
        <v>0</v>
      </c>
    </row>
    <row r="305" spans="1:12" x14ac:dyDescent="0.3">
      <c r="A305" t="s">
        <v>581</v>
      </c>
      <c r="B305" t="s">
        <v>580</v>
      </c>
      <c r="C305" s="1">
        <v>45385</v>
      </c>
      <c r="D305" t="s">
        <v>34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19</v>
      </c>
      <c r="K305">
        <v>55</v>
      </c>
      <c r="L305">
        <v>1</v>
      </c>
    </row>
    <row r="306" spans="1:12" x14ac:dyDescent="0.3">
      <c r="A306" t="s">
        <v>582</v>
      </c>
      <c r="B306" t="s">
        <v>583</v>
      </c>
      <c r="C306" s="1">
        <v>45709</v>
      </c>
      <c r="D306" t="s">
        <v>25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16</v>
      </c>
      <c r="K306">
        <v>0</v>
      </c>
      <c r="L306">
        <v>0</v>
      </c>
    </row>
    <row r="307" spans="1:12" x14ac:dyDescent="0.3">
      <c r="A307" t="s">
        <v>584</v>
      </c>
      <c r="B307" t="s">
        <v>585</v>
      </c>
      <c r="C307" s="1">
        <v>45623</v>
      </c>
      <c r="D307" t="s">
        <v>42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63</v>
      </c>
      <c r="K307">
        <v>15</v>
      </c>
      <c r="L307">
        <v>0</v>
      </c>
    </row>
    <row r="308" spans="1:12" x14ac:dyDescent="0.3">
      <c r="A308" t="s">
        <v>586</v>
      </c>
      <c r="B308" t="s">
        <v>587</v>
      </c>
      <c r="C308" s="1">
        <v>45808</v>
      </c>
      <c r="D308" t="s">
        <v>39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28</v>
      </c>
      <c r="K308">
        <v>0</v>
      </c>
      <c r="L308">
        <v>0</v>
      </c>
    </row>
    <row r="309" spans="1:12" x14ac:dyDescent="0.3">
      <c r="A309" t="s">
        <v>588</v>
      </c>
      <c r="B309" t="s">
        <v>589</v>
      </c>
      <c r="C309" s="1">
        <v>45311</v>
      </c>
      <c r="D309" t="s">
        <v>18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19</v>
      </c>
      <c r="K309">
        <v>180</v>
      </c>
      <c r="L309">
        <v>1</v>
      </c>
    </row>
    <row r="310" spans="1:12" x14ac:dyDescent="0.3">
      <c r="A310" t="s">
        <v>590</v>
      </c>
      <c r="B310" t="s">
        <v>591</v>
      </c>
      <c r="C310" s="1">
        <v>45708</v>
      </c>
      <c r="D310" t="s">
        <v>39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28</v>
      </c>
      <c r="K310">
        <v>0</v>
      </c>
      <c r="L310">
        <v>0</v>
      </c>
    </row>
    <row r="311" spans="1:12" x14ac:dyDescent="0.3">
      <c r="A311" t="s">
        <v>592</v>
      </c>
      <c r="B311" t="s">
        <v>593</v>
      </c>
      <c r="C311" s="1">
        <v>45725</v>
      </c>
      <c r="D311" t="s">
        <v>34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28</v>
      </c>
      <c r="K311">
        <v>0</v>
      </c>
      <c r="L311">
        <v>0</v>
      </c>
    </row>
    <row r="312" spans="1:12" x14ac:dyDescent="0.3">
      <c r="A312" t="s">
        <v>594</v>
      </c>
      <c r="B312" t="s">
        <v>595</v>
      </c>
      <c r="C312" s="1">
        <v>45785</v>
      </c>
      <c r="D312" t="s">
        <v>48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63</v>
      </c>
      <c r="K312">
        <v>0</v>
      </c>
      <c r="L312">
        <v>0</v>
      </c>
    </row>
    <row r="313" spans="1:12" x14ac:dyDescent="0.3">
      <c r="A313" t="s">
        <v>596</v>
      </c>
      <c r="B313" t="s">
        <v>595</v>
      </c>
      <c r="C313" s="1">
        <v>45457</v>
      </c>
      <c r="D313" t="s">
        <v>31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28</v>
      </c>
      <c r="K313">
        <v>0</v>
      </c>
      <c r="L313">
        <v>0</v>
      </c>
    </row>
    <row r="314" spans="1:12" x14ac:dyDescent="0.3">
      <c r="A314" t="s">
        <v>597</v>
      </c>
      <c r="B314" t="s">
        <v>598</v>
      </c>
      <c r="C314" s="1">
        <v>45507</v>
      </c>
      <c r="D314" t="s">
        <v>37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63</v>
      </c>
      <c r="K314">
        <v>30</v>
      </c>
      <c r="L314">
        <v>0</v>
      </c>
    </row>
    <row r="315" spans="1:12" x14ac:dyDescent="0.3">
      <c r="A315" t="s">
        <v>599</v>
      </c>
      <c r="B315" t="s">
        <v>600</v>
      </c>
      <c r="C315" s="1">
        <v>45621</v>
      </c>
      <c r="D315" t="s">
        <v>31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28</v>
      </c>
      <c r="K315">
        <v>0</v>
      </c>
      <c r="L315">
        <v>0</v>
      </c>
    </row>
    <row r="316" spans="1:12" x14ac:dyDescent="0.3">
      <c r="A316" t="s">
        <v>601</v>
      </c>
      <c r="B316" t="s">
        <v>602</v>
      </c>
      <c r="C316" s="1">
        <v>45301</v>
      </c>
      <c r="D316" t="s">
        <v>34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16</v>
      </c>
      <c r="K316">
        <v>0</v>
      </c>
      <c r="L316">
        <v>0</v>
      </c>
    </row>
    <row r="317" spans="1:12" x14ac:dyDescent="0.3">
      <c r="A317" t="s">
        <v>603</v>
      </c>
      <c r="B317" t="s">
        <v>604</v>
      </c>
      <c r="C317" s="1">
        <v>45747</v>
      </c>
      <c r="D317" t="s">
        <v>18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16</v>
      </c>
      <c r="K317">
        <v>0</v>
      </c>
      <c r="L317">
        <v>0</v>
      </c>
    </row>
    <row r="318" spans="1:12" x14ac:dyDescent="0.3">
      <c r="A318" t="s">
        <v>605</v>
      </c>
      <c r="B318" t="s">
        <v>606</v>
      </c>
      <c r="C318" s="1">
        <v>45671</v>
      </c>
      <c r="D318" t="s">
        <v>31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28</v>
      </c>
      <c r="K318">
        <v>0</v>
      </c>
      <c r="L318">
        <v>0</v>
      </c>
    </row>
    <row r="319" spans="1:12" x14ac:dyDescent="0.3">
      <c r="A319" t="s">
        <v>607</v>
      </c>
      <c r="B319" t="s">
        <v>606</v>
      </c>
      <c r="C319" s="1">
        <v>45602</v>
      </c>
      <c r="D319" t="s">
        <v>42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16</v>
      </c>
      <c r="K319">
        <v>0</v>
      </c>
      <c r="L319">
        <v>0</v>
      </c>
    </row>
    <row r="320" spans="1:12" x14ac:dyDescent="0.3">
      <c r="A320" t="s">
        <v>608</v>
      </c>
      <c r="B320" t="s">
        <v>609</v>
      </c>
      <c r="C320" s="1">
        <v>45492</v>
      </c>
      <c r="D320" t="s">
        <v>42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28</v>
      </c>
      <c r="K320">
        <v>0</v>
      </c>
      <c r="L320">
        <v>0</v>
      </c>
    </row>
    <row r="321" spans="1:12" x14ac:dyDescent="0.3">
      <c r="A321" t="s">
        <v>610</v>
      </c>
      <c r="B321" t="s">
        <v>609</v>
      </c>
      <c r="C321" s="1">
        <v>45471</v>
      </c>
      <c r="D321" t="s">
        <v>25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19</v>
      </c>
      <c r="K321">
        <v>62</v>
      </c>
      <c r="L321">
        <v>1</v>
      </c>
    </row>
    <row r="322" spans="1:12" x14ac:dyDescent="0.3">
      <c r="A322" t="s">
        <v>611</v>
      </c>
      <c r="B322" t="s">
        <v>612</v>
      </c>
      <c r="C322" s="1">
        <v>45572</v>
      </c>
      <c r="D322" t="s">
        <v>34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16</v>
      </c>
      <c r="K322">
        <v>0</v>
      </c>
      <c r="L322">
        <v>0</v>
      </c>
    </row>
    <row r="323" spans="1:12" x14ac:dyDescent="0.3">
      <c r="A323" t="s">
        <v>613</v>
      </c>
      <c r="B323" t="s">
        <v>614</v>
      </c>
      <c r="C323" s="1">
        <v>45729</v>
      </c>
      <c r="D323" t="s">
        <v>22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63</v>
      </c>
      <c r="K323">
        <v>15</v>
      </c>
      <c r="L323">
        <v>0</v>
      </c>
    </row>
    <row r="324" spans="1:12" x14ac:dyDescent="0.3">
      <c r="A324" t="s">
        <v>615</v>
      </c>
      <c r="B324" t="s">
        <v>616</v>
      </c>
      <c r="C324" s="1">
        <v>45769</v>
      </c>
      <c r="D324" t="s">
        <v>18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28</v>
      </c>
      <c r="K324">
        <v>0</v>
      </c>
      <c r="L324">
        <v>0</v>
      </c>
    </row>
    <row r="325" spans="1:12" x14ac:dyDescent="0.3">
      <c r="A325" t="s">
        <v>617</v>
      </c>
      <c r="B325" t="s">
        <v>616</v>
      </c>
      <c r="C325" s="1">
        <v>45297</v>
      </c>
      <c r="D325" t="s">
        <v>39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16</v>
      </c>
      <c r="K325">
        <v>0</v>
      </c>
      <c r="L325">
        <v>0</v>
      </c>
    </row>
    <row r="326" spans="1:12" x14ac:dyDescent="0.3">
      <c r="A326" t="s">
        <v>618</v>
      </c>
      <c r="B326" t="s">
        <v>619</v>
      </c>
      <c r="C326" s="1">
        <v>45493</v>
      </c>
      <c r="D326" t="s">
        <v>39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19</v>
      </c>
      <c r="K326">
        <v>109</v>
      </c>
      <c r="L326">
        <v>1</v>
      </c>
    </row>
    <row r="327" spans="1:12" x14ac:dyDescent="0.3">
      <c r="A327" t="s">
        <v>620</v>
      </c>
      <c r="B327" t="s">
        <v>619</v>
      </c>
      <c r="C327" s="1">
        <v>45316</v>
      </c>
      <c r="D327" t="s">
        <v>37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28</v>
      </c>
      <c r="K327">
        <v>0</v>
      </c>
      <c r="L327">
        <v>0</v>
      </c>
    </row>
    <row r="328" spans="1:12" x14ac:dyDescent="0.3">
      <c r="A328" t="s">
        <v>621</v>
      </c>
      <c r="B328" t="s">
        <v>622</v>
      </c>
      <c r="C328" s="1">
        <v>45824</v>
      </c>
      <c r="D328" t="s">
        <v>37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63</v>
      </c>
      <c r="K328">
        <v>15</v>
      </c>
      <c r="L328">
        <v>0</v>
      </c>
    </row>
    <row r="329" spans="1:12" x14ac:dyDescent="0.3">
      <c r="A329" t="s">
        <v>623</v>
      </c>
      <c r="B329" t="s">
        <v>624</v>
      </c>
      <c r="C329" s="1">
        <v>45326</v>
      </c>
      <c r="D329" t="s">
        <v>37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19</v>
      </c>
      <c r="K329">
        <v>46</v>
      </c>
      <c r="L329">
        <v>1</v>
      </c>
    </row>
    <row r="330" spans="1:12" x14ac:dyDescent="0.3">
      <c r="A330" t="s">
        <v>625</v>
      </c>
      <c r="B330" t="s">
        <v>626</v>
      </c>
      <c r="C330" s="1">
        <v>45734</v>
      </c>
      <c r="D330" t="s">
        <v>42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19</v>
      </c>
      <c r="K330">
        <v>44</v>
      </c>
      <c r="L330">
        <v>1</v>
      </c>
    </row>
    <row r="331" spans="1:12" x14ac:dyDescent="0.3">
      <c r="A331" t="s">
        <v>627</v>
      </c>
      <c r="B331" t="s">
        <v>628</v>
      </c>
      <c r="C331" s="1">
        <v>45530</v>
      </c>
      <c r="D331" t="s">
        <v>25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63</v>
      </c>
      <c r="K331">
        <v>0</v>
      </c>
      <c r="L331">
        <v>0</v>
      </c>
    </row>
    <row r="332" spans="1:12" x14ac:dyDescent="0.3">
      <c r="A332" t="s">
        <v>629</v>
      </c>
      <c r="B332" t="s">
        <v>630</v>
      </c>
      <c r="C332" s="1">
        <v>45318</v>
      </c>
      <c r="D332" t="s">
        <v>15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28</v>
      </c>
      <c r="K332">
        <v>0</v>
      </c>
      <c r="L332">
        <v>0</v>
      </c>
    </row>
    <row r="333" spans="1:12" x14ac:dyDescent="0.3">
      <c r="A333" t="s">
        <v>631</v>
      </c>
      <c r="B333" t="s">
        <v>632</v>
      </c>
      <c r="C333" s="1">
        <v>45421</v>
      </c>
      <c r="D333" t="s">
        <v>48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28</v>
      </c>
      <c r="K333">
        <v>0</v>
      </c>
      <c r="L333">
        <v>0</v>
      </c>
    </row>
    <row r="334" spans="1:12" x14ac:dyDescent="0.3">
      <c r="A334" t="s">
        <v>633</v>
      </c>
      <c r="B334" t="s">
        <v>634</v>
      </c>
      <c r="C334" s="1">
        <v>45611</v>
      </c>
      <c r="D334" t="s">
        <v>15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63</v>
      </c>
      <c r="K334">
        <v>0</v>
      </c>
      <c r="L334">
        <v>0</v>
      </c>
    </row>
    <row r="335" spans="1:12" x14ac:dyDescent="0.3">
      <c r="A335" t="s">
        <v>635</v>
      </c>
      <c r="B335" t="s">
        <v>636</v>
      </c>
      <c r="C335" s="1">
        <v>45643</v>
      </c>
      <c r="D335" t="s">
        <v>48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63</v>
      </c>
      <c r="K335">
        <v>30</v>
      </c>
      <c r="L335">
        <v>0</v>
      </c>
    </row>
    <row r="336" spans="1:12" x14ac:dyDescent="0.3">
      <c r="A336" t="s">
        <v>637</v>
      </c>
      <c r="B336" t="s">
        <v>638</v>
      </c>
      <c r="C336" s="1">
        <v>45724</v>
      </c>
      <c r="D336" t="s">
        <v>34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63</v>
      </c>
      <c r="K336">
        <v>30</v>
      </c>
      <c r="L336">
        <v>0</v>
      </c>
    </row>
    <row r="337" spans="1:12" x14ac:dyDescent="0.3">
      <c r="A337" t="s">
        <v>639</v>
      </c>
      <c r="B337" t="s">
        <v>640</v>
      </c>
      <c r="C337" s="1">
        <v>45631</v>
      </c>
      <c r="D337" t="s">
        <v>37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28</v>
      </c>
      <c r="K337">
        <v>0</v>
      </c>
      <c r="L337">
        <v>0</v>
      </c>
    </row>
    <row r="338" spans="1:12" x14ac:dyDescent="0.3">
      <c r="A338" t="s">
        <v>641</v>
      </c>
      <c r="B338" t="s">
        <v>642</v>
      </c>
      <c r="C338" s="1">
        <v>45295</v>
      </c>
      <c r="D338" t="s">
        <v>31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28</v>
      </c>
      <c r="K338">
        <v>0</v>
      </c>
      <c r="L338">
        <v>0</v>
      </c>
    </row>
    <row r="339" spans="1:12" x14ac:dyDescent="0.3">
      <c r="A339" t="s">
        <v>643</v>
      </c>
      <c r="B339" t="s">
        <v>644</v>
      </c>
      <c r="C339" s="1">
        <v>45676</v>
      </c>
      <c r="D339" t="s">
        <v>15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16</v>
      </c>
      <c r="K339">
        <v>0</v>
      </c>
      <c r="L339">
        <v>0</v>
      </c>
    </row>
    <row r="340" spans="1:12" x14ac:dyDescent="0.3">
      <c r="A340" t="s">
        <v>645</v>
      </c>
      <c r="B340" t="s">
        <v>646</v>
      </c>
      <c r="C340" s="1">
        <v>45491</v>
      </c>
      <c r="D340" t="s">
        <v>37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63</v>
      </c>
      <c r="K340">
        <v>15</v>
      </c>
      <c r="L340">
        <v>0</v>
      </c>
    </row>
    <row r="341" spans="1:12" x14ac:dyDescent="0.3">
      <c r="A341" t="s">
        <v>647</v>
      </c>
      <c r="B341" t="s">
        <v>648</v>
      </c>
      <c r="C341" s="1">
        <v>45639</v>
      </c>
      <c r="D341" t="s">
        <v>39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28</v>
      </c>
      <c r="K341">
        <v>0</v>
      </c>
      <c r="L341">
        <v>0</v>
      </c>
    </row>
    <row r="342" spans="1:12" x14ac:dyDescent="0.3">
      <c r="A342" t="s">
        <v>649</v>
      </c>
      <c r="B342" t="s">
        <v>648</v>
      </c>
      <c r="C342" s="1">
        <v>45432</v>
      </c>
      <c r="D342" t="s">
        <v>34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28</v>
      </c>
      <c r="K342">
        <v>0</v>
      </c>
      <c r="L342">
        <v>0</v>
      </c>
    </row>
    <row r="343" spans="1:12" x14ac:dyDescent="0.3">
      <c r="A343" t="s">
        <v>650</v>
      </c>
      <c r="B343" t="s">
        <v>651</v>
      </c>
      <c r="C343" s="1">
        <v>45831</v>
      </c>
      <c r="D343" t="s">
        <v>25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63</v>
      </c>
      <c r="K343">
        <v>30</v>
      </c>
      <c r="L343">
        <v>0</v>
      </c>
    </row>
    <row r="344" spans="1:12" x14ac:dyDescent="0.3">
      <c r="A344" t="s">
        <v>652</v>
      </c>
      <c r="B344" t="s">
        <v>651</v>
      </c>
      <c r="C344" s="1">
        <v>45488</v>
      </c>
      <c r="D344" t="s">
        <v>37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28</v>
      </c>
      <c r="K344">
        <v>0</v>
      </c>
      <c r="L344">
        <v>0</v>
      </c>
    </row>
    <row r="345" spans="1:12" x14ac:dyDescent="0.3">
      <c r="A345" t="s">
        <v>653</v>
      </c>
      <c r="B345" t="s">
        <v>654</v>
      </c>
      <c r="C345" s="1">
        <v>45593</v>
      </c>
      <c r="D345" t="s">
        <v>39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28</v>
      </c>
      <c r="K345">
        <v>0</v>
      </c>
      <c r="L345">
        <v>0</v>
      </c>
    </row>
    <row r="346" spans="1:12" x14ac:dyDescent="0.3">
      <c r="A346" t="s">
        <v>655</v>
      </c>
      <c r="B346" t="s">
        <v>656</v>
      </c>
      <c r="C346" s="1">
        <v>45375</v>
      </c>
      <c r="D346" t="s">
        <v>34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63</v>
      </c>
      <c r="K346">
        <v>0</v>
      </c>
      <c r="L346">
        <v>0</v>
      </c>
    </row>
    <row r="347" spans="1:12" x14ac:dyDescent="0.3">
      <c r="A347" t="s">
        <v>657</v>
      </c>
      <c r="B347" t="s">
        <v>658</v>
      </c>
      <c r="C347" s="1">
        <v>45823</v>
      </c>
      <c r="D347" t="s">
        <v>18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28</v>
      </c>
      <c r="K347">
        <v>0</v>
      </c>
      <c r="L347">
        <v>0</v>
      </c>
    </row>
    <row r="348" spans="1:12" x14ac:dyDescent="0.3">
      <c r="A348" t="s">
        <v>659</v>
      </c>
      <c r="B348" t="s">
        <v>660</v>
      </c>
      <c r="C348" s="1">
        <v>45504</v>
      </c>
      <c r="D348" t="s">
        <v>15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16</v>
      </c>
      <c r="K348">
        <v>0</v>
      </c>
      <c r="L348">
        <v>0</v>
      </c>
    </row>
    <row r="349" spans="1:12" x14ac:dyDescent="0.3">
      <c r="A349" t="s">
        <v>661</v>
      </c>
      <c r="B349" t="s">
        <v>662</v>
      </c>
      <c r="C349" s="1">
        <v>45675</v>
      </c>
      <c r="D349" t="s">
        <v>25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19</v>
      </c>
      <c r="K349">
        <v>51</v>
      </c>
      <c r="L349">
        <v>1</v>
      </c>
    </row>
    <row r="350" spans="1:12" x14ac:dyDescent="0.3">
      <c r="A350" t="s">
        <v>663</v>
      </c>
      <c r="B350" t="s">
        <v>664</v>
      </c>
      <c r="C350" s="1">
        <v>45768</v>
      </c>
      <c r="D350" t="s">
        <v>37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28</v>
      </c>
      <c r="K350">
        <v>0</v>
      </c>
      <c r="L350">
        <v>0</v>
      </c>
    </row>
    <row r="351" spans="1:12" x14ac:dyDescent="0.3">
      <c r="A351" t="s">
        <v>665</v>
      </c>
      <c r="B351" t="s">
        <v>666</v>
      </c>
      <c r="C351" s="1">
        <v>45744</v>
      </c>
      <c r="D351" t="s">
        <v>31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19</v>
      </c>
      <c r="K351">
        <v>49</v>
      </c>
      <c r="L351">
        <v>1</v>
      </c>
    </row>
    <row r="352" spans="1:12" x14ac:dyDescent="0.3">
      <c r="A352" t="s">
        <v>667</v>
      </c>
      <c r="B352" t="s">
        <v>668</v>
      </c>
      <c r="C352" s="1">
        <v>45575</v>
      </c>
      <c r="D352" t="s">
        <v>37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28</v>
      </c>
      <c r="K352">
        <v>0</v>
      </c>
      <c r="L352">
        <v>0</v>
      </c>
    </row>
    <row r="353" spans="1:12" x14ac:dyDescent="0.3">
      <c r="A353" t="s">
        <v>669</v>
      </c>
      <c r="B353" t="s">
        <v>670</v>
      </c>
      <c r="C353" s="1">
        <v>45573</v>
      </c>
      <c r="D353" t="s">
        <v>39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19</v>
      </c>
      <c r="K353">
        <v>65</v>
      </c>
      <c r="L353">
        <v>1</v>
      </c>
    </row>
    <row r="354" spans="1:12" x14ac:dyDescent="0.3">
      <c r="A354" t="s">
        <v>671</v>
      </c>
      <c r="B354" t="s">
        <v>672</v>
      </c>
      <c r="C354" s="1">
        <v>45646</v>
      </c>
      <c r="D354" t="s">
        <v>22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28</v>
      </c>
      <c r="K354">
        <v>0</v>
      </c>
      <c r="L354">
        <v>0</v>
      </c>
    </row>
    <row r="355" spans="1:12" x14ac:dyDescent="0.3">
      <c r="A355" t="s">
        <v>673</v>
      </c>
      <c r="B355" t="s">
        <v>672</v>
      </c>
      <c r="C355" s="1">
        <v>45444</v>
      </c>
      <c r="D355" t="s">
        <v>48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16</v>
      </c>
      <c r="K355">
        <v>0</v>
      </c>
      <c r="L355">
        <v>0</v>
      </c>
    </row>
    <row r="356" spans="1:12" x14ac:dyDescent="0.3">
      <c r="A356" t="s">
        <v>674</v>
      </c>
      <c r="B356" t="s">
        <v>675</v>
      </c>
      <c r="C356" s="1">
        <v>45764</v>
      </c>
      <c r="D356" t="s">
        <v>39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16</v>
      </c>
      <c r="K356">
        <v>0</v>
      </c>
      <c r="L356">
        <v>0</v>
      </c>
    </row>
    <row r="357" spans="1:12" x14ac:dyDescent="0.3">
      <c r="A357" t="s">
        <v>676</v>
      </c>
      <c r="B357" t="s">
        <v>677</v>
      </c>
      <c r="C357" s="1">
        <v>45434</v>
      </c>
      <c r="D357" t="s">
        <v>18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16</v>
      </c>
      <c r="K357">
        <v>0</v>
      </c>
      <c r="L357">
        <v>0</v>
      </c>
    </row>
    <row r="358" spans="1:12" x14ac:dyDescent="0.3">
      <c r="A358" t="s">
        <v>678</v>
      </c>
      <c r="B358" t="s">
        <v>679</v>
      </c>
      <c r="C358" s="1">
        <v>45598</v>
      </c>
      <c r="D358" t="s">
        <v>31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16</v>
      </c>
      <c r="K358">
        <v>0</v>
      </c>
      <c r="L358">
        <v>0</v>
      </c>
    </row>
    <row r="359" spans="1:12" x14ac:dyDescent="0.3">
      <c r="A359" t="s">
        <v>680</v>
      </c>
      <c r="B359" t="s">
        <v>681</v>
      </c>
      <c r="C359" s="1">
        <v>45692</v>
      </c>
      <c r="D359" t="s">
        <v>34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28</v>
      </c>
      <c r="K359">
        <v>0</v>
      </c>
      <c r="L359">
        <v>0</v>
      </c>
    </row>
    <row r="360" spans="1:12" x14ac:dyDescent="0.3">
      <c r="A360" t="s">
        <v>682</v>
      </c>
      <c r="B360" t="s">
        <v>681</v>
      </c>
      <c r="C360" s="1">
        <v>45754</v>
      </c>
      <c r="D360" t="s">
        <v>22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28</v>
      </c>
      <c r="K360">
        <v>0</v>
      </c>
      <c r="L360">
        <v>0</v>
      </c>
    </row>
    <row r="361" spans="1:12" x14ac:dyDescent="0.3">
      <c r="A361" t="s">
        <v>683</v>
      </c>
      <c r="B361" t="s">
        <v>684</v>
      </c>
      <c r="C361" s="1">
        <v>45495</v>
      </c>
      <c r="D361" t="s">
        <v>34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19</v>
      </c>
      <c r="K361">
        <v>128</v>
      </c>
      <c r="L361">
        <v>1</v>
      </c>
    </row>
    <row r="362" spans="1:12" x14ac:dyDescent="0.3">
      <c r="A362" t="s">
        <v>685</v>
      </c>
      <c r="B362" t="s">
        <v>686</v>
      </c>
      <c r="C362" s="1">
        <v>45822</v>
      </c>
      <c r="D362" t="s">
        <v>39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19</v>
      </c>
      <c r="K362">
        <v>113</v>
      </c>
      <c r="L362">
        <v>1</v>
      </c>
    </row>
    <row r="363" spans="1:12" x14ac:dyDescent="0.3">
      <c r="A363" t="s">
        <v>687</v>
      </c>
      <c r="B363" t="s">
        <v>688</v>
      </c>
      <c r="C363" s="1">
        <v>45781</v>
      </c>
      <c r="D363" t="s">
        <v>18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16</v>
      </c>
      <c r="K363">
        <v>0</v>
      </c>
      <c r="L363">
        <v>0</v>
      </c>
    </row>
    <row r="364" spans="1:12" x14ac:dyDescent="0.3">
      <c r="A364" t="s">
        <v>689</v>
      </c>
      <c r="B364" t="s">
        <v>688</v>
      </c>
      <c r="C364" s="1">
        <v>45778</v>
      </c>
      <c r="D364" t="s">
        <v>39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19</v>
      </c>
      <c r="K364">
        <v>177</v>
      </c>
      <c r="L364">
        <v>1</v>
      </c>
    </row>
    <row r="365" spans="1:12" x14ac:dyDescent="0.3">
      <c r="A365" t="s">
        <v>690</v>
      </c>
      <c r="B365" t="s">
        <v>691</v>
      </c>
      <c r="C365" s="1">
        <v>45299</v>
      </c>
      <c r="D365" t="s">
        <v>48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16</v>
      </c>
      <c r="K365">
        <v>0</v>
      </c>
      <c r="L365">
        <v>0</v>
      </c>
    </row>
    <row r="366" spans="1:12" x14ac:dyDescent="0.3">
      <c r="A366" t="s">
        <v>692</v>
      </c>
      <c r="B366" t="s">
        <v>691</v>
      </c>
      <c r="C366" s="1">
        <v>45763</v>
      </c>
      <c r="D366" t="s">
        <v>48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28</v>
      </c>
      <c r="K366">
        <v>0</v>
      </c>
      <c r="L366">
        <v>0</v>
      </c>
    </row>
    <row r="367" spans="1:12" x14ac:dyDescent="0.3">
      <c r="A367" t="s">
        <v>693</v>
      </c>
      <c r="B367" t="s">
        <v>694</v>
      </c>
      <c r="C367" s="1">
        <v>45471</v>
      </c>
      <c r="D367" t="s">
        <v>15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19</v>
      </c>
      <c r="K367">
        <v>75</v>
      </c>
      <c r="L367">
        <v>1</v>
      </c>
    </row>
    <row r="368" spans="1:12" x14ac:dyDescent="0.3">
      <c r="A368" t="s">
        <v>695</v>
      </c>
      <c r="B368" t="s">
        <v>696</v>
      </c>
      <c r="C368" s="1">
        <v>45389</v>
      </c>
      <c r="D368" t="s">
        <v>18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63</v>
      </c>
      <c r="K368">
        <v>15</v>
      </c>
      <c r="L368">
        <v>0</v>
      </c>
    </row>
    <row r="369" spans="1:12" x14ac:dyDescent="0.3">
      <c r="A369" t="s">
        <v>697</v>
      </c>
      <c r="B369" t="s">
        <v>696</v>
      </c>
      <c r="C369" s="1">
        <v>45360</v>
      </c>
      <c r="D369" t="s">
        <v>34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28</v>
      </c>
      <c r="K369">
        <v>0</v>
      </c>
      <c r="L369">
        <v>0</v>
      </c>
    </row>
    <row r="370" spans="1:12" x14ac:dyDescent="0.3">
      <c r="A370" t="s">
        <v>698</v>
      </c>
      <c r="B370" t="s">
        <v>699</v>
      </c>
      <c r="C370" s="1">
        <v>45625</v>
      </c>
      <c r="D370" t="s">
        <v>22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28</v>
      </c>
      <c r="K370">
        <v>0</v>
      </c>
      <c r="L370">
        <v>0</v>
      </c>
    </row>
    <row r="371" spans="1:12" x14ac:dyDescent="0.3">
      <c r="A371" t="s">
        <v>700</v>
      </c>
      <c r="B371" t="s">
        <v>701</v>
      </c>
      <c r="C371" s="1">
        <v>45700</v>
      </c>
      <c r="D371" t="s">
        <v>42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28</v>
      </c>
      <c r="K371">
        <v>0</v>
      </c>
      <c r="L371">
        <v>0</v>
      </c>
    </row>
    <row r="372" spans="1:12" x14ac:dyDescent="0.3">
      <c r="A372" t="s">
        <v>702</v>
      </c>
      <c r="B372" t="s">
        <v>703</v>
      </c>
      <c r="C372" s="1">
        <v>45376</v>
      </c>
      <c r="D372" t="s">
        <v>34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16</v>
      </c>
      <c r="K372">
        <v>0</v>
      </c>
      <c r="L372">
        <v>0</v>
      </c>
    </row>
    <row r="373" spans="1:12" x14ac:dyDescent="0.3">
      <c r="A373" t="s">
        <v>704</v>
      </c>
      <c r="B373" t="s">
        <v>705</v>
      </c>
      <c r="C373" s="1">
        <v>45473</v>
      </c>
      <c r="D373" t="s">
        <v>25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19</v>
      </c>
      <c r="K373">
        <v>166</v>
      </c>
      <c r="L373">
        <v>1</v>
      </c>
    </row>
    <row r="374" spans="1:12" x14ac:dyDescent="0.3">
      <c r="A374" t="s">
        <v>706</v>
      </c>
      <c r="B374" t="s">
        <v>707</v>
      </c>
      <c r="C374" s="1">
        <v>45658</v>
      </c>
      <c r="D374" t="s">
        <v>34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16</v>
      </c>
      <c r="K374">
        <v>0</v>
      </c>
      <c r="L374">
        <v>0</v>
      </c>
    </row>
    <row r="375" spans="1:12" x14ac:dyDescent="0.3">
      <c r="A375" t="s">
        <v>708</v>
      </c>
      <c r="B375" t="s">
        <v>709</v>
      </c>
      <c r="C375" s="1">
        <v>45397</v>
      </c>
      <c r="D375" t="s">
        <v>15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19</v>
      </c>
      <c r="K375">
        <v>108</v>
      </c>
      <c r="L375">
        <v>1</v>
      </c>
    </row>
    <row r="376" spans="1:12" x14ac:dyDescent="0.3">
      <c r="A376" t="s">
        <v>710</v>
      </c>
      <c r="B376" t="s">
        <v>711</v>
      </c>
      <c r="C376" s="1">
        <v>45675</v>
      </c>
      <c r="D376" t="s">
        <v>48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28</v>
      </c>
      <c r="K376">
        <v>0</v>
      </c>
      <c r="L376">
        <v>0</v>
      </c>
    </row>
    <row r="377" spans="1:12" x14ac:dyDescent="0.3">
      <c r="A377" t="s">
        <v>712</v>
      </c>
      <c r="B377" t="s">
        <v>713</v>
      </c>
      <c r="C377" s="1">
        <v>45390</v>
      </c>
      <c r="D377" t="s">
        <v>42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28</v>
      </c>
      <c r="K377">
        <v>0</v>
      </c>
      <c r="L377">
        <v>0</v>
      </c>
    </row>
    <row r="378" spans="1:12" x14ac:dyDescent="0.3">
      <c r="A378" t="s">
        <v>714</v>
      </c>
      <c r="B378" t="s">
        <v>715</v>
      </c>
      <c r="C378" s="1">
        <v>45486</v>
      </c>
      <c r="D378" t="s">
        <v>18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63</v>
      </c>
      <c r="K378">
        <v>15</v>
      </c>
      <c r="L378">
        <v>0</v>
      </c>
    </row>
    <row r="379" spans="1:12" x14ac:dyDescent="0.3">
      <c r="A379" t="s">
        <v>716</v>
      </c>
      <c r="B379" t="s">
        <v>717</v>
      </c>
      <c r="C379" s="1">
        <v>45615</v>
      </c>
      <c r="D379" t="s">
        <v>39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19</v>
      </c>
      <c r="K379">
        <v>84</v>
      </c>
      <c r="L379">
        <v>1</v>
      </c>
    </row>
    <row r="380" spans="1:12" x14ac:dyDescent="0.3">
      <c r="A380" t="s">
        <v>718</v>
      </c>
      <c r="B380" t="s">
        <v>719</v>
      </c>
      <c r="C380" s="1">
        <v>45360</v>
      </c>
      <c r="D380" t="s">
        <v>37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16</v>
      </c>
      <c r="K380">
        <v>0</v>
      </c>
      <c r="L380">
        <v>0</v>
      </c>
    </row>
    <row r="381" spans="1:12" x14ac:dyDescent="0.3">
      <c r="A381" t="s">
        <v>720</v>
      </c>
      <c r="B381" t="s">
        <v>721</v>
      </c>
      <c r="C381" s="1">
        <v>45389</v>
      </c>
      <c r="D381" t="s">
        <v>37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63</v>
      </c>
      <c r="K381">
        <v>30</v>
      </c>
      <c r="L381">
        <v>0</v>
      </c>
    </row>
    <row r="382" spans="1:12" x14ac:dyDescent="0.3">
      <c r="A382" t="s">
        <v>722</v>
      </c>
      <c r="B382" t="s">
        <v>723</v>
      </c>
      <c r="C382" s="1">
        <v>45785</v>
      </c>
      <c r="D382" t="s">
        <v>34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19</v>
      </c>
      <c r="K382">
        <v>34</v>
      </c>
      <c r="L382">
        <v>1</v>
      </c>
    </row>
    <row r="383" spans="1:12" x14ac:dyDescent="0.3">
      <c r="A383" t="s">
        <v>724</v>
      </c>
      <c r="B383" t="s">
        <v>725</v>
      </c>
      <c r="C383" s="1">
        <v>45305</v>
      </c>
      <c r="D383" t="s">
        <v>48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19</v>
      </c>
      <c r="K383">
        <v>61</v>
      </c>
      <c r="L383">
        <v>1</v>
      </c>
    </row>
    <row r="384" spans="1:12" x14ac:dyDescent="0.3">
      <c r="A384" t="s">
        <v>726</v>
      </c>
      <c r="B384" t="s">
        <v>727</v>
      </c>
      <c r="C384" s="1">
        <v>45802</v>
      </c>
      <c r="D384" t="s">
        <v>18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28</v>
      </c>
      <c r="K384">
        <v>0</v>
      </c>
      <c r="L384">
        <v>0</v>
      </c>
    </row>
    <row r="385" spans="1:12" x14ac:dyDescent="0.3">
      <c r="A385" t="s">
        <v>728</v>
      </c>
      <c r="B385" t="s">
        <v>729</v>
      </c>
      <c r="C385" s="1">
        <v>45617</v>
      </c>
      <c r="D385" t="s">
        <v>48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28</v>
      </c>
      <c r="K385">
        <v>0</v>
      </c>
      <c r="L385">
        <v>0</v>
      </c>
    </row>
    <row r="386" spans="1:12" x14ac:dyDescent="0.3">
      <c r="A386" t="s">
        <v>730</v>
      </c>
      <c r="B386" t="s">
        <v>731</v>
      </c>
      <c r="C386" s="1">
        <v>45502</v>
      </c>
      <c r="D386" t="s">
        <v>25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63</v>
      </c>
      <c r="K386">
        <v>15</v>
      </c>
      <c r="L386">
        <v>0</v>
      </c>
    </row>
    <row r="387" spans="1:12" x14ac:dyDescent="0.3">
      <c r="A387" t="s">
        <v>732</v>
      </c>
      <c r="B387" t="s">
        <v>731</v>
      </c>
      <c r="C387" s="1">
        <v>45682</v>
      </c>
      <c r="D387" t="s">
        <v>39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63</v>
      </c>
      <c r="K387">
        <v>0</v>
      </c>
      <c r="L387">
        <v>0</v>
      </c>
    </row>
    <row r="388" spans="1:12" x14ac:dyDescent="0.3">
      <c r="A388" t="s">
        <v>733</v>
      </c>
      <c r="B388" t="s">
        <v>734</v>
      </c>
      <c r="C388" s="1">
        <v>45420</v>
      </c>
      <c r="D388" t="s">
        <v>15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19</v>
      </c>
      <c r="K388">
        <v>170</v>
      </c>
      <c r="L388">
        <v>1</v>
      </c>
    </row>
    <row r="389" spans="1:12" x14ac:dyDescent="0.3">
      <c r="A389" t="s">
        <v>735</v>
      </c>
      <c r="B389" t="s">
        <v>736</v>
      </c>
      <c r="C389" s="1">
        <v>45494</v>
      </c>
      <c r="D389" t="s">
        <v>39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19</v>
      </c>
      <c r="K389">
        <v>75</v>
      </c>
      <c r="L389">
        <v>1</v>
      </c>
    </row>
    <row r="390" spans="1:12" x14ac:dyDescent="0.3">
      <c r="A390" t="s">
        <v>737</v>
      </c>
      <c r="B390" t="s">
        <v>736</v>
      </c>
      <c r="C390" s="1">
        <v>45498</v>
      </c>
      <c r="D390" t="s">
        <v>48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19</v>
      </c>
      <c r="K390">
        <v>153</v>
      </c>
      <c r="L390">
        <v>1</v>
      </c>
    </row>
    <row r="391" spans="1:12" x14ac:dyDescent="0.3">
      <c r="A391" t="s">
        <v>738</v>
      </c>
      <c r="B391" t="s">
        <v>739</v>
      </c>
      <c r="C391" s="1">
        <v>45735</v>
      </c>
      <c r="D391" t="s">
        <v>31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16</v>
      </c>
      <c r="K391">
        <v>0</v>
      </c>
      <c r="L391">
        <v>0</v>
      </c>
    </row>
    <row r="392" spans="1:12" x14ac:dyDescent="0.3">
      <c r="A392" t="s">
        <v>740</v>
      </c>
      <c r="B392" t="s">
        <v>741</v>
      </c>
      <c r="C392" s="1">
        <v>45448</v>
      </c>
      <c r="D392" t="s">
        <v>18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28</v>
      </c>
      <c r="K392">
        <v>0</v>
      </c>
      <c r="L392">
        <v>0</v>
      </c>
    </row>
    <row r="393" spans="1:12" x14ac:dyDescent="0.3">
      <c r="A393" t="s">
        <v>742</v>
      </c>
      <c r="B393" t="s">
        <v>743</v>
      </c>
      <c r="C393" s="1">
        <v>45772</v>
      </c>
      <c r="D393" t="s">
        <v>25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19</v>
      </c>
      <c r="K393">
        <v>78</v>
      </c>
      <c r="L393">
        <v>1</v>
      </c>
    </row>
    <row r="394" spans="1:12" x14ac:dyDescent="0.3">
      <c r="A394" t="s">
        <v>744</v>
      </c>
      <c r="B394" t="s">
        <v>745</v>
      </c>
      <c r="C394" s="1">
        <v>45696</v>
      </c>
      <c r="D394" t="s">
        <v>22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28</v>
      </c>
      <c r="K394">
        <v>0</v>
      </c>
      <c r="L394">
        <v>0</v>
      </c>
    </row>
    <row r="395" spans="1:12" x14ac:dyDescent="0.3">
      <c r="A395" t="s">
        <v>746</v>
      </c>
      <c r="B395" t="s">
        <v>747</v>
      </c>
      <c r="C395" s="1">
        <v>45458</v>
      </c>
      <c r="D395" t="s">
        <v>48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19</v>
      </c>
      <c r="K395">
        <v>141</v>
      </c>
      <c r="L395">
        <v>1</v>
      </c>
    </row>
    <row r="396" spans="1:12" x14ac:dyDescent="0.3">
      <c r="A396" t="s">
        <v>748</v>
      </c>
      <c r="B396" t="s">
        <v>749</v>
      </c>
      <c r="C396" s="1">
        <v>45686</v>
      </c>
      <c r="D396" t="s">
        <v>31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28</v>
      </c>
      <c r="K396">
        <v>0</v>
      </c>
      <c r="L396">
        <v>0</v>
      </c>
    </row>
    <row r="397" spans="1:12" x14ac:dyDescent="0.3">
      <c r="A397" t="s">
        <v>750</v>
      </c>
      <c r="B397" t="s">
        <v>749</v>
      </c>
      <c r="C397" s="1">
        <v>45443</v>
      </c>
      <c r="D397" t="s">
        <v>42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63</v>
      </c>
      <c r="K397">
        <v>0</v>
      </c>
      <c r="L397">
        <v>0</v>
      </c>
    </row>
    <row r="398" spans="1:12" x14ac:dyDescent="0.3">
      <c r="A398" t="s">
        <v>751</v>
      </c>
      <c r="B398" t="s">
        <v>752</v>
      </c>
      <c r="C398" s="1">
        <v>45386</v>
      </c>
      <c r="D398" t="s">
        <v>48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63</v>
      </c>
      <c r="K398">
        <v>15</v>
      </c>
      <c r="L398">
        <v>0</v>
      </c>
    </row>
    <row r="399" spans="1:12" x14ac:dyDescent="0.3">
      <c r="A399" t="s">
        <v>753</v>
      </c>
      <c r="B399" t="s">
        <v>754</v>
      </c>
      <c r="C399" s="1">
        <v>45729</v>
      </c>
      <c r="D399" t="s">
        <v>37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19</v>
      </c>
      <c r="K399">
        <v>107</v>
      </c>
      <c r="L399">
        <v>1</v>
      </c>
    </row>
    <row r="400" spans="1:12" x14ac:dyDescent="0.3">
      <c r="A400" t="s">
        <v>755</v>
      </c>
      <c r="B400" t="s">
        <v>756</v>
      </c>
      <c r="C400" s="1">
        <v>45383</v>
      </c>
      <c r="D400" t="s">
        <v>22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19</v>
      </c>
      <c r="K400">
        <v>176</v>
      </c>
      <c r="L400">
        <v>1</v>
      </c>
    </row>
    <row r="401" spans="1:12" x14ac:dyDescent="0.3">
      <c r="A401" t="s">
        <v>757</v>
      </c>
      <c r="B401" t="s">
        <v>758</v>
      </c>
      <c r="C401" s="1">
        <v>45699</v>
      </c>
      <c r="D401" t="s">
        <v>31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28</v>
      </c>
      <c r="K401">
        <v>0</v>
      </c>
      <c r="L401">
        <v>0</v>
      </c>
    </row>
    <row r="402" spans="1:12" x14ac:dyDescent="0.3">
      <c r="A402" t="s">
        <v>759</v>
      </c>
      <c r="B402" t="s">
        <v>760</v>
      </c>
      <c r="C402" s="1">
        <v>45587</v>
      </c>
      <c r="D402" t="s">
        <v>37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28</v>
      </c>
      <c r="K402">
        <v>0</v>
      </c>
      <c r="L402">
        <v>0</v>
      </c>
    </row>
    <row r="403" spans="1:12" x14ac:dyDescent="0.3">
      <c r="A403" t="s">
        <v>761</v>
      </c>
      <c r="B403" t="s">
        <v>762</v>
      </c>
      <c r="C403" s="1">
        <v>45509</v>
      </c>
      <c r="D403" t="s">
        <v>39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19</v>
      </c>
      <c r="K403">
        <v>45</v>
      </c>
      <c r="L403">
        <v>1</v>
      </c>
    </row>
    <row r="404" spans="1:12" x14ac:dyDescent="0.3">
      <c r="A404" t="s">
        <v>763</v>
      </c>
      <c r="B404" t="s">
        <v>764</v>
      </c>
      <c r="C404" s="1">
        <v>45403</v>
      </c>
      <c r="D404" t="s">
        <v>39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28</v>
      </c>
      <c r="K404">
        <v>0</v>
      </c>
      <c r="L404">
        <v>0</v>
      </c>
    </row>
    <row r="405" spans="1:12" x14ac:dyDescent="0.3">
      <c r="A405" t="s">
        <v>765</v>
      </c>
      <c r="B405" t="s">
        <v>766</v>
      </c>
      <c r="C405" s="1">
        <v>45395</v>
      </c>
      <c r="D405" t="s">
        <v>25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19</v>
      </c>
      <c r="K405">
        <v>98</v>
      </c>
      <c r="L405">
        <v>1</v>
      </c>
    </row>
    <row r="406" spans="1:12" x14ac:dyDescent="0.3">
      <c r="A406" t="s">
        <v>767</v>
      </c>
      <c r="B406" t="s">
        <v>768</v>
      </c>
      <c r="C406" s="1">
        <v>45826</v>
      </c>
      <c r="D406" t="s">
        <v>42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28</v>
      </c>
      <c r="K406">
        <v>0</v>
      </c>
      <c r="L406">
        <v>0</v>
      </c>
    </row>
    <row r="407" spans="1:12" x14ac:dyDescent="0.3">
      <c r="A407" t="s">
        <v>769</v>
      </c>
      <c r="B407" t="s">
        <v>770</v>
      </c>
      <c r="C407" s="1">
        <v>45636</v>
      </c>
      <c r="D407" t="s">
        <v>25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63</v>
      </c>
      <c r="K407">
        <v>15</v>
      </c>
      <c r="L407">
        <v>0</v>
      </c>
    </row>
    <row r="408" spans="1:12" x14ac:dyDescent="0.3">
      <c r="A408" t="s">
        <v>771</v>
      </c>
      <c r="B408" t="s">
        <v>770</v>
      </c>
      <c r="C408" s="1">
        <v>45656</v>
      </c>
      <c r="D408" t="s">
        <v>39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28</v>
      </c>
      <c r="K408">
        <v>0</v>
      </c>
      <c r="L408">
        <v>0</v>
      </c>
    </row>
    <row r="409" spans="1:12" x14ac:dyDescent="0.3">
      <c r="A409" t="s">
        <v>772</v>
      </c>
      <c r="B409" t="s">
        <v>773</v>
      </c>
      <c r="C409" s="1">
        <v>45417</v>
      </c>
      <c r="D409" t="s">
        <v>18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63</v>
      </c>
      <c r="K409">
        <v>0</v>
      </c>
      <c r="L409">
        <v>0</v>
      </c>
    </row>
    <row r="410" spans="1:12" x14ac:dyDescent="0.3">
      <c r="A410" t="s">
        <v>774</v>
      </c>
      <c r="B410" t="s">
        <v>773</v>
      </c>
      <c r="C410" s="1">
        <v>45484</v>
      </c>
      <c r="D410" t="s">
        <v>39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19</v>
      </c>
      <c r="K410">
        <v>112</v>
      </c>
      <c r="L410">
        <v>1</v>
      </c>
    </row>
    <row r="411" spans="1:12" x14ac:dyDescent="0.3">
      <c r="A411" t="s">
        <v>775</v>
      </c>
      <c r="B411" t="s">
        <v>776</v>
      </c>
      <c r="C411" s="1">
        <v>45531</v>
      </c>
      <c r="D411" t="s">
        <v>31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63</v>
      </c>
      <c r="K411">
        <v>0</v>
      </c>
      <c r="L411">
        <v>0</v>
      </c>
    </row>
    <row r="412" spans="1:12" x14ac:dyDescent="0.3">
      <c r="A412" t="s">
        <v>777</v>
      </c>
      <c r="B412" t="s">
        <v>778</v>
      </c>
      <c r="C412" s="1">
        <v>45394</v>
      </c>
      <c r="D412" t="s">
        <v>18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28</v>
      </c>
      <c r="K412">
        <v>0</v>
      </c>
      <c r="L412">
        <v>0</v>
      </c>
    </row>
    <row r="413" spans="1:12" x14ac:dyDescent="0.3">
      <c r="A413" t="s">
        <v>779</v>
      </c>
      <c r="B413" t="s">
        <v>780</v>
      </c>
      <c r="C413" s="1">
        <v>45801</v>
      </c>
      <c r="D413" t="s">
        <v>22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63</v>
      </c>
      <c r="K413">
        <v>0</v>
      </c>
      <c r="L413">
        <v>0</v>
      </c>
    </row>
    <row r="414" spans="1:12" x14ac:dyDescent="0.3">
      <c r="A414" t="s">
        <v>781</v>
      </c>
      <c r="B414" t="s">
        <v>782</v>
      </c>
      <c r="C414" s="1">
        <v>45538</v>
      </c>
      <c r="D414" t="s">
        <v>15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16</v>
      </c>
      <c r="K414">
        <v>0</v>
      </c>
      <c r="L414">
        <v>0</v>
      </c>
    </row>
    <row r="415" spans="1:12" x14ac:dyDescent="0.3">
      <c r="A415" t="s">
        <v>783</v>
      </c>
      <c r="B415" t="s">
        <v>784</v>
      </c>
      <c r="C415" s="1">
        <v>45626</v>
      </c>
      <c r="D415" t="s">
        <v>37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28</v>
      </c>
      <c r="K415">
        <v>0</v>
      </c>
      <c r="L415">
        <v>0</v>
      </c>
    </row>
    <row r="416" spans="1:12" x14ac:dyDescent="0.3">
      <c r="A416" t="s">
        <v>785</v>
      </c>
      <c r="B416" t="s">
        <v>786</v>
      </c>
      <c r="C416" s="1">
        <v>45795</v>
      </c>
      <c r="D416" t="s">
        <v>15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19</v>
      </c>
      <c r="K416">
        <v>115</v>
      </c>
      <c r="L416">
        <v>1</v>
      </c>
    </row>
    <row r="417" spans="1:12" x14ac:dyDescent="0.3">
      <c r="A417" t="s">
        <v>787</v>
      </c>
      <c r="B417" t="s">
        <v>788</v>
      </c>
      <c r="C417" s="1">
        <v>45682</v>
      </c>
      <c r="D417" t="s">
        <v>48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16</v>
      </c>
      <c r="K417">
        <v>0</v>
      </c>
      <c r="L417">
        <v>0</v>
      </c>
    </row>
    <row r="418" spans="1:12" x14ac:dyDescent="0.3">
      <c r="A418" t="s">
        <v>789</v>
      </c>
      <c r="B418" t="s">
        <v>788</v>
      </c>
      <c r="C418" s="1">
        <v>45406</v>
      </c>
      <c r="D418" t="s">
        <v>18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19</v>
      </c>
      <c r="K418">
        <v>78</v>
      </c>
      <c r="L418">
        <v>1</v>
      </c>
    </row>
    <row r="419" spans="1:12" x14ac:dyDescent="0.3">
      <c r="A419" t="s">
        <v>790</v>
      </c>
      <c r="B419" t="s">
        <v>791</v>
      </c>
      <c r="C419" s="1">
        <v>45293</v>
      </c>
      <c r="D419" t="s">
        <v>37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28</v>
      </c>
      <c r="K419">
        <v>0</v>
      </c>
      <c r="L419">
        <v>0</v>
      </c>
    </row>
    <row r="420" spans="1:12" x14ac:dyDescent="0.3">
      <c r="A420" t="s">
        <v>792</v>
      </c>
      <c r="B420" t="s">
        <v>793</v>
      </c>
      <c r="C420" s="1">
        <v>45519</v>
      </c>
      <c r="D420" t="s">
        <v>18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19</v>
      </c>
      <c r="K420">
        <v>32</v>
      </c>
      <c r="L420">
        <v>1</v>
      </c>
    </row>
    <row r="421" spans="1:12" x14ac:dyDescent="0.3">
      <c r="A421" t="s">
        <v>794</v>
      </c>
      <c r="B421" t="s">
        <v>795</v>
      </c>
      <c r="C421" s="1">
        <v>45803</v>
      </c>
      <c r="D421" t="s">
        <v>15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28</v>
      </c>
      <c r="K421">
        <v>0</v>
      </c>
      <c r="L421">
        <v>0</v>
      </c>
    </row>
    <row r="422" spans="1:12" x14ac:dyDescent="0.3">
      <c r="A422" t="s">
        <v>796</v>
      </c>
      <c r="B422" t="s">
        <v>797</v>
      </c>
      <c r="C422" s="1">
        <v>45781</v>
      </c>
      <c r="D422" t="s">
        <v>42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28</v>
      </c>
      <c r="K422">
        <v>0</v>
      </c>
      <c r="L422">
        <v>0</v>
      </c>
    </row>
    <row r="423" spans="1:12" x14ac:dyDescent="0.3">
      <c r="A423" t="s">
        <v>798</v>
      </c>
      <c r="B423" t="s">
        <v>799</v>
      </c>
      <c r="C423" s="1">
        <v>45522</v>
      </c>
      <c r="D423" t="s">
        <v>42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16</v>
      </c>
      <c r="K423">
        <v>0</v>
      </c>
      <c r="L423">
        <v>0</v>
      </c>
    </row>
    <row r="424" spans="1:12" x14ac:dyDescent="0.3">
      <c r="A424" t="s">
        <v>800</v>
      </c>
      <c r="B424" t="s">
        <v>799</v>
      </c>
      <c r="C424" s="1">
        <v>45455</v>
      </c>
      <c r="D424" t="s">
        <v>34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28</v>
      </c>
      <c r="K424">
        <v>0</v>
      </c>
      <c r="L424">
        <v>0</v>
      </c>
    </row>
    <row r="425" spans="1:12" x14ac:dyDescent="0.3">
      <c r="A425" t="s">
        <v>801</v>
      </c>
      <c r="B425" t="s">
        <v>802</v>
      </c>
      <c r="C425" s="1">
        <v>45581</v>
      </c>
      <c r="D425" t="s">
        <v>31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16</v>
      </c>
      <c r="K425">
        <v>0</v>
      </c>
      <c r="L425">
        <v>0</v>
      </c>
    </row>
    <row r="426" spans="1:12" x14ac:dyDescent="0.3">
      <c r="A426" t="s">
        <v>803</v>
      </c>
      <c r="B426" t="s">
        <v>804</v>
      </c>
      <c r="C426" s="1">
        <v>45603</v>
      </c>
      <c r="D426" t="s">
        <v>34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28</v>
      </c>
      <c r="K426">
        <v>0</v>
      </c>
      <c r="L426">
        <v>0</v>
      </c>
    </row>
    <row r="427" spans="1:12" x14ac:dyDescent="0.3">
      <c r="A427" t="s">
        <v>805</v>
      </c>
      <c r="B427" t="s">
        <v>806</v>
      </c>
      <c r="C427" s="1">
        <v>45301</v>
      </c>
      <c r="D427" t="s">
        <v>25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63</v>
      </c>
      <c r="K427">
        <v>15</v>
      </c>
      <c r="L427">
        <v>0</v>
      </c>
    </row>
    <row r="428" spans="1:12" x14ac:dyDescent="0.3">
      <c r="A428" t="s">
        <v>807</v>
      </c>
      <c r="B428" t="s">
        <v>808</v>
      </c>
      <c r="C428" s="1">
        <v>45390</v>
      </c>
      <c r="D428" t="s">
        <v>34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19</v>
      </c>
      <c r="K428">
        <v>151</v>
      </c>
      <c r="L428">
        <v>1</v>
      </c>
    </row>
    <row r="429" spans="1:12" x14ac:dyDescent="0.3">
      <c r="A429" t="s">
        <v>809</v>
      </c>
      <c r="B429" t="s">
        <v>810</v>
      </c>
      <c r="C429" s="1">
        <v>45444</v>
      </c>
      <c r="D429" t="s">
        <v>42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28</v>
      </c>
      <c r="K429">
        <v>0</v>
      </c>
      <c r="L429">
        <v>0</v>
      </c>
    </row>
    <row r="430" spans="1:12" x14ac:dyDescent="0.3">
      <c r="A430" t="s">
        <v>811</v>
      </c>
      <c r="B430" t="s">
        <v>812</v>
      </c>
      <c r="C430" s="1">
        <v>45676</v>
      </c>
      <c r="D430" t="s">
        <v>15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63</v>
      </c>
      <c r="K430">
        <v>30</v>
      </c>
      <c r="L430">
        <v>0</v>
      </c>
    </row>
    <row r="431" spans="1:12" x14ac:dyDescent="0.3">
      <c r="A431" t="s">
        <v>813</v>
      </c>
      <c r="B431" t="s">
        <v>814</v>
      </c>
      <c r="C431" s="1">
        <v>45747</v>
      </c>
      <c r="D431" t="s">
        <v>15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28</v>
      </c>
      <c r="K431">
        <v>0</v>
      </c>
      <c r="L431">
        <v>0</v>
      </c>
    </row>
    <row r="432" spans="1:12" x14ac:dyDescent="0.3">
      <c r="A432" t="s">
        <v>815</v>
      </c>
      <c r="B432" t="s">
        <v>816</v>
      </c>
      <c r="C432" s="1">
        <v>45388</v>
      </c>
      <c r="D432" t="s">
        <v>22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28</v>
      </c>
      <c r="K432">
        <v>0</v>
      </c>
      <c r="L432">
        <v>0</v>
      </c>
    </row>
    <row r="433" spans="1:12" x14ac:dyDescent="0.3">
      <c r="A433" t="s">
        <v>817</v>
      </c>
      <c r="B433" t="s">
        <v>818</v>
      </c>
      <c r="C433" s="1">
        <v>45481</v>
      </c>
      <c r="D433" t="s">
        <v>18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28</v>
      </c>
      <c r="K433">
        <v>0</v>
      </c>
      <c r="L433">
        <v>0</v>
      </c>
    </row>
    <row r="434" spans="1:12" x14ac:dyDescent="0.3">
      <c r="A434" t="s">
        <v>819</v>
      </c>
      <c r="B434" t="s">
        <v>820</v>
      </c>
      <c r="C434" s="1">
        <v>45419</v>
      </c>
      <c r="D434" t="s">
        <v>22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63</v>
      </c>
      <c r="K434">
        <v>0</v>
      </c>
      <c r="L434">
        <v>0</v>
      </c>
    </row>
    <row r="435" spans="1:12" x14ac:dyDescent="0.3">
      <c r="A435" t="s">
        <v>821</v>
      </c>
      <c r="B435" t="s">
        <v>820</v>
      </c>
      <c r="C435" s="1">
        <v>45749</v>
      </c>
      <c r="D435" t="s">
        <v>37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28</v>
      </c>
      <c r="K435">
        <v>0</v>
      </c>
      <c r="L435">
        <v>0</v>
      </c>
    </row>
    <row r="436" spans="1:12" x14ac:dyDescent="0.3">
      <c r="A436" t="s">
        <v>822</v>
      </c>
      <c r="B436" t="s">
        <v>823</v>
      </c>
      <c r="C436" s="1">
        <v>45419</v>
      </c>
      <c r="D436" t="s">
        <v>34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28</v>
      </c>
      <c r="K436">
        <v>0</v>
      </c>
      <c r="L436">
        <v>0</v>
      </c>
    </row>
    <row r="437" spans="1:12" x14ac:dyDescent="0.3">
      <c r="A437" t="s">
        <v>824</v>
      </c>
      <c r="B437" t="s">
        <v>825</v>
      </c>
      <c r="C437" s="1">
        <v>45592</v>
      </c>
      <c r="D437" t="s">
        <v>42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28</v>
      </c>
      <c r="K437">
        <v>0</v>
      </c>
      <c r="L437">
        <v>0</v>
      </c>
    </row>
    <row r="438" spans="1:12" x14ac:dyDescent="0.3">
      <c r="A438" t="s">
        <v>826</v>
      </c>
      <c r="B438" t="s">
        <v>827</v>
      </c>
      <c r="C438" s="1">
        <v>45506</v>
      </c>
      <c r="D438" t="s">
        <v>22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28</v>
      </c>
      <c r="K438">
        <v>0</v>
      </c>
      <c r="L438">
        <v>0</v>
      </c>
    </row>
    <row r="439" spans="1:12" x14ac:dyDescent="0.3">
      <c r="A439" t="s">
        <v>828</v>
      </c>
      <c r="B439" t="s">
        <v>829</v>
      </c>
      <c r="C439" s="1">
        <v>45513</v>
      </c>
      <c r="D439" t="s">
        <v>34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16</v>
      </c>
      <c r="K439">
        <v>0</v>
      </c>
      <c r="L439">
        <v>0</v>
      </c>
    </row>
    <row r="440" spans="1:12" x14ac:dyDescent="0.3">
      <c r="A440" t="s">
        <v>830</v>
      </c>
      <c r="B440" t="s">
        <v>831</v>
      </c>
      <c r="C440" s="1">
        <v>45377</v>
      </c>
      <c r="D440" t="s">
        <v>22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16</v>
      </c>
      <c r="K440">
        <v>0</v>
      </c>
      <c r="L440">
        <v>0</v>
      </c>
    </row>
    <row r="441" spans="1:12" x14ac:dyDescent="0.3">
      <c r="A441" t="s">
        <v>832</v>
      </c>
      <c r="B441" t="s">
        <v>833</v>
      </c>
      <c r="C441" s="1">
        <v>45815</v>
      </c>
      <c r="D441" t="s">
        <v>39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28</v>
      </c>
      <c r="K441">
        <v>0</v>
      </c>
      <c r="L441">
        <v>0</v>
      </c>
    </row>
    <row r="442" spans="1:12" x14ac:dyDescent="0.3">
      <c r="A442" t="s">
        <v>834</v>
      </c>
      <c r="B442" t="s">
        <v>835</v>
      </c>
      <c r="C442" s="1">
        <v>45419</v>
      </c>
      <c r="D442" t="s">
        <v>18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28</v>
      </c>
      <c r="K442">
        <v>0</v>
      </c>
      <c r="L442">
        <v>0</v>
      </c>
    </row>
    <row r="443" spans="1:12" x14ac:dyDescent="0.3">
      <c r="A443" t="s">
        <v>836</v>
      </c>
      <c r="B443" t="s">
        <v>835</v>
      </c>
      <c r="C443" s="1">
        <v>45441</v>
      </c>
      <c r="D443" t="s">
        <v>31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28</v>
      </c>
      <c r="K443">
        <v>0</v>
      </c>
      <c r="L443">
        <v>0</v>
      </c>
    </row>
    <row r="444" spans="1:12" x14ac:dyDescent="0.3">
      <c r="A444" t="s">
        <v>837</v>
      </c>
      <c r="B444" t="s">
        <v>838</v>
      </c>
      <c r="C444" s="1">
        <v>45605</v>
      </c>
      <c r="D444" t="s">
        <v>39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28</v>
      </c>
      <c r="K444">
        <v>0</v>
      </c>
      <c r="L444">
        <v>0</v>
      </c>
    </row>
    <row r="445" spans="1:12" x14ac:dyDescent="0.3">
      <c r="A445" t="s">
        <v>839</v>
      </c>
      <c r="B445" t="s">
        <v>840</v>
      </c>
      <c r="C445" s="1">
        <v>45341</v>
      </c>
      <c r="D445" t="s">
        <v>48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19</v>
      </c>
      <c r="K445">
        <v>129</v>
      </c>
      <c r="L445">
        <v>1</v>
      </c>
    </row>
    <row r="446" spans="1:12" x14ac:dyDescent="0.3">
      <c r="A446" t="s">
        <v>841</v>
      </c>
      <c r="B446" t="s">
        <v>842</v>
      </c>
      <c r="C446" s="1">
        <v>45422</v>
      </c>
      <c r="D446" t="s">
        <v>22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19</v>
      </c>
      <c r="K446">
        <v>161</v>
      </c>
      <c r="L446">
        <v>1</v>
      </c>
    </row>
    <row r="447" spans="1:12" x14ac:dyDescent="0.3">
      <c r="A447" t="s">
        <v>843</v>
      </c>
      <c r="B447" t="s">
        <v>844</v>
      </c>
      <c r="C447" s="1">
        <v>45671</v>
      </c>
      <c r="D447" t="s">
        <v>34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63</v>
      </c>
      <c r="K447">
        <v>0</v>
      </c>
      <c r="L447">
        <v>0</v>
      </c>
    </row>
    <row r="448" spans="1:12" x14ac:dyDescent="0.3">
      <c r="A448" t="s">
        <v>845</v>
      </c>
      <c r="B448" t="s">
        <v>846</v>
      </c>
      <c r="C448" s="1">
        <v>45574</v>
      </c>
      <c r="D448" t="s">
        <v>34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16</v>
      </c>
      <c r="K448">
        <v>0</v>
      </c>
      <c r="L448">
        <v>0</v>
      </c>
    </row>
    <row r="449" spans="1:12" x14ac:dyDescent="0.3">
      <c r="A449" t="s">
        <v>847</v>
      </c>
      <c r="B449" t="s">
        <v>848</v>
      </c>
      <c r="C449" s="1">
        <v>45612</v>
      </c>
      <c r="D449" t="s">
        <v>39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28</v>
      </c>
      <c r="K449">
        <v>0</v>
      </c>
      <c r="L449">
        <v>0</v>
      </c>
    </row>
    <row r="450" spans="1:12" x14ac:dyDescent="0.3">
      <c r="A450" t="s">
        <v>849</v>
      </c>
      <c r="B450" t="s">
        <v>848</v>
      </c>
      <c r="C450" s="1">
        <v>45584</v>
      </c>
      <c r="D450" t="s">
        <v>39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16</v>
      </c>
      <c r="K450">
        <v>0</v>
      </c>
      <c r="L450">
        <v>0</v>
      </c>
    </row>
    <row r="451" spans="1:12" x14ac:dyDescent="0.3">
      <c r="A451" t="s">
        <v>850</v>
      </c>
      <c r="B451" t="s">
        <v>851</v>
      </c>
      <c r="C451" s="1">
        <v>45819</v>
      </c>
      <c r="D451" t="s">
        <v>18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28</v>
      </c>
      <c r="K451">
        <v>0</v>
      </c>
      <c r="L451">
        <v>0</v>
      </c>
    </row>
    <row r="452" spans="1:12" x14ac:dyDescent="0.3">
      <c r="A452" t="s">
        <v>852</v>
      </c>
      <c r="B452" t="s">
        <v>851</v>
      </c>
      <c r="C452" s="1">
        <v>45645</v>
      </c>
      <c r="D452" t="s">
        <v>37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16</v>
      </c>
      <c r="K452">
        <v>0</v>
      </c>
      <c r="L452">
        <v>0</v>
      </c>
    </row>
    <row r="453" spans="1:12" x14ac:dyDescent="0.3">
      <c r="A453" t="s">
        <v>853</v>
      </c>
      <c r="B453" t="s">
        <v>854</v>
      </c>
      <c r="C453" s="1">
        <v>45828</v>
      </c>
      <c r="D453" t="s">
        <v>22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28</v>
      </c>
      <c r="K453">
        <v>0</v>
      </c>
      <c r="L453">
        <v>0</v>
      </c>
    </row>
    <row r="454" spans="1:12" x14ac:dyDescent="0.3">
      <c r="A454" t="s">
        <v>855</v>
      </c>
      <c r="B454" t="s">
        <v>854</v>
      </c>
      <c r="C454" s="1">
        <v>45466</v>
      </c>
      <c r="D454" t="s">
        <v>34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19</v>
      </c>
      <c r="K454">
        <v>58</v>
      </c>
      <c r="L454">
        <v>1</v>
      </c>
    </row>
    <row r="455" spans="1:12" x14ac:dyDescent="0.3">
      <c r="A455" t="s">
        <v>856</v>
      </c>
      <c r="B455" t="s">
        <v>857</v>
      </c>
      <c r="C455" s="1">
        <v>45786</v>
      </c>
      <c r="D455" t="s">
        <v>39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16</v>
      </c>
      <c r="K455">
        <v>0</v>
      </c>
      <c r="L455">
        <v>0</v>
      </c>
    </row>
    <row r="456" spans="1:12" x14ac:dyDescent="0.3">
      <c r="A456" t="s">
        <v>858</v>
      </c>
      <c r="B456" t="s">
        <v>859</v>
      </c>
      <c r="C456" s="1">
        <v>45328</v>
      </c>
      <c r="D456" t="s">
        <v>39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63</v>
      </c>
      <c r="K456">
        <v>15</v>
      </c>
      <c r="L456">
        <v>0</v>
      </c>
    </row>
    <row r="457" spans="1:12" x14ac:dyDescent="0.3">
      <c r="A457" t="s">
        <v>860</v>
      </c>
      <c r="B457" t="s">
        <v>861</v>
      </c>
      <c r="C457" s="1">
        <v>45650</v>
      </c>
      <c r="D457" t="s">
        <v>42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28</v>
      </c>
      <c r="K457">
        <v>0</v>
      </c>
      <c r="L457">
        <v>0</v>
      </c>
    </row>
    <row r="458" spans="1:12" x14ac:dyDescent="0.3">
      <c r="A458" t="s">
        <v>862</v>
      </c>
      <c r="B458" t="s">
        <v>863</v>
      </c>
      <c r="C458" s="1">
        <v>45791</v>
      </c>
      <c r="D458" t="s">
        <v>15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19</v>
      </c>
      <c r="K458">
        <v>94</v>
      </c>
      <c r="L458">
        <v>1</v>
      </c>
    </row>
    <row r="459" spans="1:12" x14ac:dyDescent="0.3">
      <c r="A459" t="s">
        <v>864</v>
      </c>
      <c r="B459" t="s">
        <v>865</v>
      </c>
      <c r="C459" s="1">
        <v>45567</v>
      </c>
      <c r="D459" t="s">
        <v>18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19</v>
      </c>
      <c r="K459">
        <v>142</v>
      </c>
      <c r="L459">
        <v>1</v>
      </c>
    </row>
    <row r="460" spans="1:12" x14ac:dyDescent="0.3">
      <c r="A460" t="s">
        <v>866</v>
      </c>
      <c r="B460" t="s">
        <v>867</v>
      </c>
      <c r="C460" s="1">
        <v>45495</v>
      </c>
      <c r="D460" t="s">
        <v>15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28</v>
      </c>
      <c r="K460">
        <v>0</v>
      </c>
      <c r="L460">
        <v>0</v>
      </c>
    </row>
    <row r="461" spans="1:12" x14ac:dyDescent="0.3">
      <c r="A461" t="s">
        <v>868</v>
      </c>
      <c r="B461" t="s">
        <v>869</v>
      </c>
      <c r="C461" s="1">
        <v>45564</v>
      </c>
      <c r="D461" t="s">
        <v>31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28</v>
      </c>
      <c r="K461">
        <v>0</v>
      </c>
      <c r="L461">
        <v>0</v>
      </c>
    </row>
    <row r="462" spans="1:12" x14ac:dyDescent="0.3">
      <c r="A462" t="s">
        <v>870</v>
      </c>
      <c r="B462" t="s">
        <v>871</v>
      </c>
      <c r="C462" s="1">
        <v>45690</v>
      </c>
      <c r="D462" t="s">
        <v>34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63</v>
      </c>
      <c r="K462">
        <v>30</v>
      </c>
      <c r="L462">
        <v>0</v>
      </c>
    </row>
    <row r="463" spans="1:12" x14ac:dyDescent="0.3">
      <c r="A463" t="s">
        <v>872</v>
      </c>
      <c r="B463" t="s">
        <v>873</v>
      </c>
      <c r="C463" s="1">
        <v>45642</v>
      </c>
      <c r="D463" t="s">
        <v>31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19</v>
      </c>
      <c r="K463">
        <v>32</v>
      </c>
      <c r="L463">
        <v>1</v>
      </c>
    </row>
    <row r="464" spans="1:12" x14ac:dyDescent="0.3">
      <c r="A464" t="s">
        <v>874</v>
      </c>
      <c r="B464" t="s">
        <v>875</v>
      </c>
      <c r="C464" s="1">
        <v>45448</v>
      </c>
      <c r="D464" t="s">
        <v>25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28</v>
      </c>
      <c r="K464">
        <v>0</v>
      </c>
      <c r="L464">
        <v>0</v>
      </c>
    </row>
    <row r="465" spans="1:12" x14ac:dyDescent="0.3">
      <c r="A465" t="s">
        <v>876</v>
      </c>
      <c r="B465" t="s">
        <v>877</v>
      </c>
      <c r="C465" s="1">
        <v>45397</v>
      </c>
      <c r="D465" t="s">
        <v>25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28</v>
      </c>
      <c r="K465">
        <v>0</v>
      </c>
      <c r="L465">
        <v>0</v>
      </c>
    </row>
    <row r="466" spans="1:12" x14ac:dyDescent="0.3">
      <c r="A466" t="s">
        <v>878</v>
      </c>
      <c r="B466" t="s">
        <v>879</v>
      </c>
      <c r="C466" s="1">
        <v>45331</v>
      </c>
      <c r="D466" t="s">
        <v>48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19</v>
      </c>
      <c r="K466">
        <v>79</v>
      </c>
      <c r="L466">
        <v>1</v>
      </c>
    </row>
    <row r="467" spans="1:12" x14ac:dyDescent="0.3">
      <c r="A467" t="s">
        <v>880</v>
      </c>
      <c r="B467" t="s">
        <v>879</v>
      </c>
      <c r="C467" s="1">
        <v>45681</v>
      </c>
      <c r="D467" t="s">
        <v>34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19</v>
      </c>
      <c r="K467">
        <v>108</v>
      </c>
      <c r="L467">
        <v>1</v>
      </c>
    </row>
    <row r="468" spans="1:12" x14ac:dyDescent="0.3">
      <c r="A468" t="s">
        <v>881</v>
      </c>
      <c r="B468" t="s">
        <v>882</v>
      </c>
      <c r="C468" s="1">
        <v>45344</v>
      </c>
      <c r="D468" t="s">
        <v>39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28</v>
      </c>
      <c r="K468">
        <v>0</v>
      </c>
      <c r="L468">
        <v>0</v>
      </c>
    </row>
    <row r="469" spans="1:12" x14ac:dyDescent="0.3">
      <c r="A469" t="s">
        <v>883</v>
      </c>
      <c r="B469" t="s">
        <v>884</v>
      </c>
      <c r="C469" s="1">
        <v>45345</v>
      </c>
      <c r="D469" t="s">
        <v>18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28</v>
      </c>
      <c r="K469">
        <v>0</v>
      </c>
      <c r="L469">
        <v>0</v>
      </c>
    </row>
    <row r="470" spans="1:12" x14ac:dyDescent="0.3">
      <c r="A470" t="s">
        <v>885</v>
      </c>
      <c r="B470" t="s">
        <v>886</v>
      </c>
      <c r="C470" s="1">
        <v>45603</v>
      </c>
      <c r="D470" t="s">
        <v>48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19</v>
      </c>
      <c r="K470">
        <v>33</v>
      </c>
      <c r="L470">
        <v>1</v>
      </c>
    </row>
    <row r="471" spans="1:12" x14ac:dyDescent="0.3">
      <c r="A471" t="s">
        <v>887</v>
      </c>
      <c r="B471" t="s">
        <v>888</v>
      </c>
      <c r="C471" s="1">
        <v>45833</v>
      </c>
      <c r="D471" t="s">
        <v>34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28</v>
      </c>
      <c r="K471">
        <v>0</v>
      </c>
      <c r="L471">
        <v>0</v>
      </c>
    </row>
    <row r="472" spans="1:12" x14ac:dyDescent="0.3">
      <c r="A472" t="s">
        <v>889</v>
      </c>
      <c r="B472" t="s">
        <v>890</v>
      </c>
      <c r="C472" s="1">
        <v>45487</v>
      </c>
      <c r="D472" t="s">
        <v>37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19</v>
      </c>
      <c r="K472">
        <v>144</v>
      </c>
      <c r="L472">
        <v>1</v>
      </c>
    </row>
    <row r="473" spans="1:12" x14ac:dyDescent="0.3">
      <c r="A473" t="s">
        <v>891</v>
      </c>
      <c r="B473" t="s">
        <v>892</v>
      </c>
      <c r="C473" s="1">
        <v>45498</v>
      </c>
      <c r="D473" t="s">
        <v>37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28</v>
      </c>
      <c r="K473">
        <v>0</v>
      </c>
      <c r="L473">
        <v>0</v>
      </c>
    </row>
    <row r="474" spans="1:12" x14ac:dyDescent="0.3">
      <c r="A474" t="s">
        <v>893</v>
      </c>
      <c r="B474" t="s">
        <v>892</v>
      </c>
      <c r="C474" s="1">
        <v>45666</v>
      </c>
      <c r="D474" t="s">
        <v>18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16</v>
      </c>
      <c r="K474">
        <v>0</v>
      </c>
      <c r="L474">
        <v>0</v>
      </c>
    </row>
    <row r="475" spans="1:12" x14ac:dyDescent="0.3">
      <c r="A475" t="s">
        <v>894</v>
      </c>
      <c r="B475" t="s">
        <v>895</v>
      </c>
      <c r="C475" s="1">
        <v>45572</v>
      </c>
      <c r="D475" t="s">
        <v>18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28</v>
      </c>
      <c r="K475">
        <v>0</v>
      </c>
      <c r="L475">
        <v>0</v>
      </c>
    </row>
    <row r="476" spans="1:12" x14ac:dyDescent="0.3">
      <c r="A476" t="s">
        <v>896</v>
      </c>
      <c r="B476" t="s">
        <v>897</v>
      </c>
      <c r="C476" s="1">
        <v>45368</v>
      </c>
      <c r="D476" t="s">
        <v>39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28</v>
      </c>
      <c r="K476">
        <v>0</v>
      </c>
      <c r="L476">
        <v>0</v>
      </c>
    </row>
    <row r="477" spans="1:12" x14ac:dyDescent="0.3">
      <c r="A477" t="s">
        <v>898</v>
      </c>
      <c r="B477" t="s">
        <v>899</v>
      </c>
      <c r="C477" s="1">
        <v>45515</v>
      </c>
      <c r="D477" t="s">
        <v>18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16</v>
      </c>
      <c r="K477">
        <v>0</v>
      </c>
      <c r="L477">
        <v>0</v>
      </c>
    </row>
    <row r="478" spans="1:12" x14ac:dyDescent="0.3">
      <c r="A478" t="s">
        <v>900</v>
      </c>
      <c r="B478" t="s">
        <v>901</v>
      </c>
      <c r="C478" s="1">
        <v>45595</v>
      </c>
      <c r="D478" t="s">
        <v>22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28</v>
      </c>
      <c r="K478">
        <v>0</v>
      </c>
      <c r="L478">
        <v>0</v>
      </c>
    </row>
    <row r="479" spans="1:12" x14ac:dyDescent="0.3">
      <c r="A479" t="s">
        <v>902</v>
      </c>
      <c r="B479" t="s">
        <v>903</v>
      </c>
      <c r="C479" s="1">
        <v>45568</v>
      </c>
      <c r="D479" t="s">
        <v>39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16</v>
      </c>
      <c r="K479">
        <v>0</v>
      </c>
      <c r="L479">
        <v>0</v>
      </c>
    </row>
    <row r="480" spans="1:12" x14ac:dyDescent="0.3">
      <c r="A480" t="s">
        <v>904</v>
      </c>
      <c r="B480" t="s">
        <v>905</v>
      </c>
      <c r="C480" s="1">
        <v>45669</v>
      </c>
      <c r="D480" t="s">
        <v>39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63</v>
      </c>
      <c r="K480">
        <v>15</v>
      </c>
      <c r="L480">
        <v>0</v>
      </c>
    </row>
    <row r="481" spans="1:12" x14ac:dyDescent="0.3">
      <c r="A481" t="s">
        <v>906</v>
      </c>
      <c r="B481" t="s">
        <v>905</v>
      </c>
      <c r="C481" s="1">
        <v>45350</v>
      </c>
      <c r="D481" t="s">
        <v>25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28</v>
      </c>
      <c r="K481">
        <v>0</v>
      </c>
      <c r="L481">
        <v>0</v>
      </c>
    </row>
    <row r="482" spans="1:12" x14ac:dyDescent="0.3">
      <c r="A482" t="s">
        <v>907</v>
      </c>
      <c r="B482" t="s">
        <v>908</v>
      </c>
      <c r="C482" s="1">
        <v>45400</v>
      </c>
      <c r="D482" t="s">
        <v>25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16</v>
      </c>
      <c r="K482">
        <v>0</v>
      </c>
      <c r="L482">
        <v>0</v>
      </c>
    </row>
    <row r="483" spans="1:12" x14ac:dyDescent="0.3">
      <c r="A483" t="s">
        <v>909</v>
      </c>
      <c r="B483" t="s">
        <v>910</v>
      </c>
      <c r="C483" s="1">
        <v>45500</v>
      </c>
      <c r="D483" t="s">
        <v>48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16</v>
      </c>
      <c r="K483">
        <v>0</v>
      </c>
      <c r="L483">
        <v>0</v>
      </c>
    </row>
    <row r="484" spans="1:12" x14ac:dyDescent="0.3">
      <c r="A484" t="s">
        <v>911</v>
      </c>
      <c r="B484" t="s">
        <v>912</v>
      </c>
      <c r="C484" s="1">
        <v>45387</v>
      </c>
      <c r="D484" t="s">
        <v>39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19</v>
      </c>
      <c r="K484">
        <v>147</v>
      </c>
      <c r="L484">
        <v>1</v>
      </c>
    </row>
    <row r="485" spans="1:12" x14ac:dyDescent="0.3">
      <c r="A485" t="s">
        <v>913</v>
      </c>
      <c r="B485" t="s">
        <v>914</v>
      </c>
      <c r="C485" s="1">
        <v>45313</v>
      </c>
      <c r="D485" t="s">
        <v>34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63</v>
      </c>
      <c r="K485">
        <v>15</v>
      </c>
      <c r="L485">
        <v>0</v>
      </c>
    </row>
    <row r="486" spans="1:12" x14ac:dyDescent="0.3">
      <c r="A486" t="s">
        <v>915</v>
      </c>
      <c r="B486" t="s">
        <v>916</v>
      </c>
      <c r="C486" s="1">
        <v>45704</v>
      </c>
      <c r="D486" t="s">
        <v>39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16</v>
      </c>
      <c r="K486">
        <v>0</v>
      </c>
      <c r="L486">
        <v>0</v>
      </c>
    </row>
    <row r="487" spans="1:12" x14ac:dyDescent="0.3">
      <c r="A487" t="s">
        <v>917</v>
      </c>
      <c r="B487" t="s">
        <v>918</v>
      </c>
      <c r="C487" s="1">
        <v>45336</v>
      </c>
      <c r="D487" t="s">
        <v>48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19</v>
      </c>
      <c r="K487">
        <v>51</v>
      </c>
      <c r="L487">
        <v>1</v>
      </c>
    </row>
    <row r="488" spans="1:12" x14ac:dyDescent="0.3">
      <c r="A488" t="s">
        <v>919</v>
      </c>
      <c r="B488" t="s">
        <v>918</v>
      </c>
      <c r="C488" s="1">
        <v>45301</v>
      </c>
      <c r="D488" t="s">
        <v>25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16</v>
      </c>
      <c r="K488">
        <v>0</v>
      </c>
      <c r="L488">
        <v>0</v>
      </c>
    </row>
    <row r="489" spans="1:12" x14ac:dyDescent="0.3">
      <c r="A489" t="s">
        <v>920</v>
      </c>
      <c r="B489" t="s">
        <v>921</v>
      </c>
      <c r="C489" s="1">
        <v>45459</v>
      </c>
      <c r="D489" t="s">
        <v>37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19</v>
      </c>
      <c r="K489">
        <v>152</v>
      </c>
      <c r="L489">
        <v>1</v>
      </c>
    </row>
    <row r="490" spans="1:12" x14ac:dyDescent="0.3">
      <c r="A490" t="s">
        <v>922</v>
      </c>
      <c r="B490" t="s">
        <v>923</v>
      </c>
      <c r="C490" s="1">
        <v>45337</v>
      </c>
      <c r="D490" t="s">
        <v>42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19</v>
      </c>
      <c r="K490">
        <v>105</v>
      </c>
      <c r="L490">
        <v>1</v>
      </c>
    </row>
    <row r="491" spans="1:12" x14ac:dyDescent="0.3">
      <c r="A491" t="s">
        <v>924</v>
      </c>
      <c r="B491" t="s">
        <v>925</v>
      </c>
      <c r="C491" s="1">
        <v>45686</v>
      </c>
      <c r="D491" t="s">
        <v>18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19</v>
      </c>
      <c r="K491">
        <v>103</v>
      </c>
      <c r="L491">
        <v>1</v>
      </c>
    </row>
    <row r="492" spans="1:12" x14ac:dyDescent="0.3">
      <c r="A492" t="s">
        <v>926</v>
      </c>
      <c r="B492" t="s">
        <v>927</v>
      </c>
      <c r="C492" s="1">
        <v>45404</v>
      </c>
      <c r="D492" t="s">
        <v>18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19</v>
      </c>
      <c r="K492">
        <v>102</v>
      </c>
      <c r="L492">
        <v>1</v>
      </c>
    </row>
    <row r="493" spans="1:12" x14ac:dyDescent="0.3">
      <c r="A493" t="s">
        <v>928</v>
      </c>
      <c r="B493" t="s">
        <v>929</v>
      </c>
      <c r="C493" s="1">
        <v>45446</v>
      </c>
      <c r="D493" t="s">
        <v>48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19</v>
      </c>
      <c r="K493">
        <v>165</v>
      </c>
      <c r="L493">
        <v>1</v>
      </c>
    </row>
    <row r="494" spans="1:12" x14ac:dyDescent="0.3">
      <c r="A494" t="s">
        <v>930</v>
      </c>
      <c r="B494" t="s">
        <v>931</v>
      </c>
      <c r="C494" s="1">
        <v>45585</v>
      </c>
      <c r="D494" t="s">
        <v>34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16</v>
      </c>
      <c r="K494">
        <v>0</v>
      </c>
      <c r="L494">
        <v>0</v>
      </c>
    </row>
    <row r="495" spans="1:12" x14ac:dyDescent="0.3">
      <c r="A495" t="s">
        <v>932</v>
      </c>
      <c r="B495" t="s">
        <v>933</v>
      </c>
      <c r="C495" s="1">
        <v>45444</v>
      </c>
      <c r="D495" t="s">
        <v>25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28</v>
      </c>
      <c r="K495">
        <v>0</v>
      </c>
      <c r="L495">
        <v>0</v>
      </c>
    </row>
    <row r="496" spans="1:12" x14ac:dyDescent="0.3">
      <c r="A496" t="s">
        <v>934</v>
      </c>
      <c r="B496" t="s">
        <v>935</v>
      </c>
      <c r="C496" s="1">
        <v>45577</v>
      </c>
      <c r="D496" t="s">
        <v>15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19</v>
      </c>
      <c r="K496">
        <v>112</v>
      </c>
      <c r="L496">
        <v>1</v>
      </c>
    </row>
    <row r="497" spans="1:12" x14ac:dyDescent="0.3">
      <c r="A497" t="s">
        <v>936</v>
      </c>
      <c r="B497" t="s">
        <v>937</v>
      </c>
      <c r="C497" s="1">
        <v>45715</v>
      </c>
      <c r="D497" t="s">
        <v>34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28</v>
      </c>
      <c r="K497">
        <v>0</v>
      </c>
      <c r="L497">
        <v>0</v>
      </c>
    </row>
    <row r="498" spans="1:12" x14ac:dyDescent="0.3">
      <c r="A498" t="s">
        <v>938</v>
      </c>
      <c r="B498" t="s">
        <v>937</v>
      </c>
      <c r="C498" s="1">
        <v>45837</v>
      </c>
      <c r="D498" t="s">
        <v>39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28</v>
      </c>
      <c r="K498">
        <v>0</v>
      </c>
      <c r="L498">
        <v>0</v>
      </c>
    </row>
    <row r="499" spans="1:12" x14ac:dyDescent="0.3">
      <c r="A499" t="s">
        <v>939</v>
      </c>
      <c r="B499" t="s">
        <v>940</v>
      </c>
      <c r="C499" s="1">
        <v>45532</v>
      </c>
      <c r="D499" t="s">
        <v>22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16</v>
      </c>
      <c r="K499">
        <v>0</v>
      </c>
      <c r="L499">
        <v>0</v>
      </c>
    </row>
    <row r="500" spans="1:12" x14ac:dyDescent="0.3">
      <c r="A500" t="s">
        <v>941</v>
      </c>
      <c r="B500" t="s">
        <v>942</v>
      </c>
      <c r="C500" s="1">
        <v>45661</v>
      </c>
      <c r="D500" t="s">
        <v>15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63</v>
      </c>
      <c r="K500">
        <v>15</v>
      </c>
      <c r="L500">
        <v>0</v>
      </c>
    </row>
    <row r="501" spans="1:12" x14ac:dyDescent="0.3">
      <c r="A501" t="s">
        <v>943</v>
      </c>
      <c r="B501" t="s">
        <v>944</v>
      </c>
      <c r="C501" s="1">
        <v>45521</v>
      </c>
      <c r="D501" t="s">
        <v>34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19</v>
      </c>
      <c r="K501">
        <v>65</v>
      </c>
      <c r="L501">
        <v>1</v>
      </c>
    </row>
    <row r="502" spans="1:12" x14ac:dyDescent="0.3">
      <c r="A502" t="s">
        <v>945</v>
      </c>
      <c r="B502" t="s">
        <v>946</v>
      </c>
      <c r="C502" s="1">
        <v>45400</v>
      </c>
      <c r="D502" t="s">
        <v>34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16</v>
      </c>
      <c r="K502">
        <v>0</v>
      </c>
      <c r="L502">
        <v>0</v>
      </c>
    </row>
    <row r="503" spans="1:12" x14ac:dyDescent="0.3">
      <c r="A503" t="s">
        <v>947</v>
      </c>
      <c r="B503" t="s">
        <v>948</v>
      </c>
      <c r="C503" s="1">
        <v>45718</v>
      </c>
      <c r="D503" t="s">
        <v>42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16</v>
      </c>
      <c r="K503">
        <v>0</v>
      </c>
      <c r="L503">
        <v>0</v>
      </c>
    </row>
    <row r="504" spans="1:12" x14ac:dyDescent="0.3">
      <c r="A504" t="s">
        <v>949</v>
      </c>
      <c r="B504" t="s">
        <v>948</v>
      </c>
      <c r="C504" s="1">
        <v>45746</v>
      </c>
      <c r="D504" t="s">
        <v>22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28</v>
      </c>
      <c r="K504">
        <v>0</v>
      </c>
      <c r="L504">
        <v>0</v>
      </c>
    </row>
    <row r="505" spans="1:12" x14ac:dyDescent="0.3">
      <c r="A505" t="s">
        <v>950</v>
      </c>
      <c r="B505" t="s">
        <v>951</v>
      </c>
      <c r="C505" s="1">
        <v>45725</v>
      </c>
      <c r="D505" t="s">
        <v>42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63</v>
      </c>
      <c r="K505">
        <v>15</v>
      </c>
      <c r="L505">
        <v>0</v>
      </c>
    </row>
    <row r="506" spans="1:12" x14ac:dyDescent="0.3">
      <c r="A506" t="s">
        <v>952</v>
      </c>
      <c r="B506" t="s">
        <v>953</v>
      </c>
      <c r="C506" s="1">
        <v>45570</v>
      </c>
      <c r="D506" t="s">
        <v>48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16</v>
      </c>
      <c r="K506">
        <v>0</v>
      </c>
      <c r="L506">
        <v>0</v>
      </c>
    </row>
    <row r="507" spans="1:12" x14ac:dyDescent="0.3">
      <c r="A507" t="s">
        <v>954</v>
      </c>
      <c r="B507" t="s">
        <v>953</v>
      </c>
      <c r="C507" s="1">
        <v>45480</v>
      </c>
      <c r="D507" t="s">
        <v>34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63</v>
      </c>
      <c r="K507">
        <v>30</v>
      </c>
      <c r="L507">
        <v>0</v>
      </c>
    </row>
    <row r="508" spans="1:12" x14ac:dyDescent="0.3">
      <c r="A508" t="s">
        <v>955</v>
      </c>
      <c r="B508" t="s">
        <v>956</v>
      </c>
      <c r="C508" s="1">
        <v>45460</v>
      </c>
      <c r="D508" t="s">
        <v>15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19</v>
      </c>
      <c r="K508">
        <v>125</v>
      </c>
      <c r="L508">
        <v>1</v>
      </c>
    </row>
    <row r="509" spans="1:12" x14ac:dyDescent="0.3">
      <c r="A509" t="s">
        <v>957</v>
      </c>
      <c r="B509" t="s">
        <v>958</v>
      </c>
      <c r="C509" s="1">
        <v>45635</v>
      </c>
      <c r="D509" t="s">
        <v>39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19</v>
      </c>
      <c r="K509">
        <v>102</v>
      </c>
      <c r="L509">
        <v>1</v>
      </c>
    </row>
    <row r="510" spans="1:12" x14ac:dyDescent="0.3">
      <c r="A510" t="s">
        <v>959</v>
      </c>
      <c r="B510" t="s">
        <v>960</v>
      </c>
      <c r="C510" s="1">
        <v>45498</v>
      </c>
      <c r="D510" t="s">
        <v>37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28</v>
      </c>
      <c r="K510">
        <v>0</v>
      </c>
      <c r="L510">
        <v>0</v>
      </c>
    </row>
    <row r="511" spans="1:12" x14ac:dyDescent="0.3">
      <c r="A511" t="s">
        <v>961</v>
      </c>
      <c r="B511" t="s">
        <v>962</v>
      </c>
      <c r="C511" s="1">
        <v>45614</v>
      </c>
      <c r="D511" t="s">
        <v>48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19</v>
      </c>
      <c r="K511">
        <v>109</v>
      </c>
      <c r="L511">
        <v>1</v>
      </c>
    </row>
    <row r="512" spans="1:12" x14ac:dyDescent="0.3">
      <c r="A512" t="s">
        <v>963</v>
      </c>
      <c r="B512" t="s">
        <v>962</v>
      </c>
      <c r="C512" s="1">
        <v>45614</v>
      </c>
      <c r="D512" t="s">
        <v>42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16</v>
      </c>
      <c r="K512">
        <v>0</v>
      </c>
      <c r="L512">
        <v>0</v>
      </c>
    </row>
    <row r="513" spans="1:12" x14ac:dyDescent="0.3">
      <c r="A513" t="s">
        <v>964</v>
      </c>
      <c r="B513" t="s">
        <v>965</v>
      </c>
      <c r="C513" s="1">
        <v>45445</v>
      </c>
      <c r="D513" t="s">
        <v>37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19</v>
      </c>
      <c r="K513">
        <v>127</v>
      </c>
      <c r="L513">
        <v>1</v>
      </c>
    </row>
    <row r="514" spans="1:12" x14ac:dyDescent="0.3">
      <c r="A514" t="s">
        <v>966</v>
      </c>
      <c r="B514" t="s">
        <v>967</v>
      </c>
      <c r="C514" s="1">
        <v>45387</v>
      </c>
      <c r="D514" t="s">
        <v>42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28</v>
      </c>
      <c r="K514">
        <v>0</v>
      </c>
      <c r="L514">
        <v>0</v>
      </c>
    </row>
    <row r="515" spans="1:12" x14ac:dyDescent="0.3">
      <c r="A515" t="s">
        <v>968</v>
      </c>
      <c r="B515" t="s">
        <v>969</v>
      </c>
      <c r="C515" s="1">
        <v>45827</v>
      </c>
      <c r="D515" t="s">
        <v>34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16</v>
      </c>
      <c r="K515">
        <v>0</v>
      </c>
      <c r="L515">
        <v>0</v>
      </c>
    </row>
    <row r="516" spans="1:12" x14ac:dyDescent="0.3">
      <c r="A516" t="s">
        <v>970</v>
      </c>
      <c r="B516" t="s">
        <v>971</v>
      </c>
      <c r="C516" s="1">
        <v>45688</v>
      </c>
      <c r="D516" t="s">
        <v>31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19</v>
      </c>
      <c r="K516">
        <v>49</v>
      </c>
      <c r="L516">
        <v>1</v>
      </c>
    </row>
    <row r="517" spans="1:12" x14ac:dyDescent="0.3">
      <c r="A517" t="s">
        <v>972</v>
      </c>
      <c r="B517" t="s">
        <v>973</v>
      </c>
      <c r="C517" s="1">
        <v>45608</v>
      </c>
      <c r="D517" t="s">
        <v>48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63</v>
      </c>
      <c r="K517">
        <v>30</v>
      </c>
      <c r="L517">
        <v>0</v>
      </c>
    </row>
    <row r="518" spans="1:12" x14ac:dyDescent="0.3">
      <c r="A518" t="s">
        <v>974</v>
      </c>
      <c r="B518" t="s">
        <v>973</v>
      </c>
      <c r="C518" s="1">
        <v>45457</v>
      </c>
      <c r="D518" t="s">
        <v>37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19</v>
      </c>
      <c r="K518">
        <v>177</v>
      </c>
      <c r="L518">
        <v>1</v>
      </c>
    </row>
    <row r="519" spans="1:12" x14ac:dyDescent="0.3">
      <c r="A519" t="s">
        <v>975</v>
      </c>
      <c r="B519" t="s">
        <v>976</v>
      </c>
      <c r="C519" s="1">
        <v>45776</v>
      </c>
      <c r="D519" t="s">
        <v>37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28</v>
      </c>
      <c r="K519">
        <v>0</v>
      </c>
      <c r="L519">
        <v>0</v>
      </c>
    </row>
    <row r="520" spans="1:12" x14ac:dyDescent="0.3">
      <c r="A520" t="s">
        <v>977</v>
      </c>
      <c r="B520" t="s">
        <v>978</v>
      </c>
      <c r="C520" s="1">
        <v>45702</v>
      </c>
      <c r="D520" t="s">
        <v>37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63</v>
      </c>
      <c r="K520">
        <v>0</v>
      </c>
      <c r="L520">
        <v>0</v>
      </c>
    </row>
    <row r="521" spans="1:12" x14ac:dyDescent="0.3">
      <c r="A521" t="s">
        <v>979</v>
      </c>
      <c r="B521" t="s">
        <v>978</v>
      </c>
      <c r="C521" s="1">
        <v>45715</v>
      </c>
      <c r="D521" t="s">
        <v>15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16</v>
      </c>
      <c r="K521">
        <v>0</v>
      </c>
      <c r="L521">
        <v>0</v>
      </c>
    </row>
    <row r="522" spans="1:12" x14ac:dyDescent="0.3">
      <c r="A522" t="s">
        <v>980</v>
      </c>
      <c r="B522" t="s">
        <v>981</v>
      </c>
      <c r="C522" s="1">
        <v>45300</v>
      </c>
      <c r="D522" t="s">
        <v>48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28</v>
      </c>
      <c r="K522">
        <v>0</v>
      </c>
      <c r="L522">
        <v>0</v>
      </c>
    </row>
    <row r="523" spans="1:12" x14ac:dyDescent="0.3">
      <c r="A523" t="s">
        <v>982</v>
      </c>
      <c r="B523" t="s">
        <v>983</v>
      </c>
      <c r="C523" s="1">
        <v>45771</v>
      </c>
      <c r="D523" t="s">
        <v>37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63</v>
      </c>
      <c r="K523">
        <v>15</v>
      </c>
      <c r="L523">
        <v>0</v>
      </c>
    </row>
    <row r="524" spans="1:12" x14ac:dyDescent="0.3">
      <c r="A524" t="s">
        <v>984</v>
      </c>
      <c r="B524" t="s">
        <v>985</v>
      </c>
      <c r="C524" s="1">
        <v>45628</v>
      </c>
      <c r="D524" t="s">
        <v>37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63</v>
      </c>
      <c r="K524">
        <v>0</v>
      </c>
      <c r="L524">
        <v>0</v>
      </c>
    </row>
    <row r="525" spans="1:12" x14ac:dyDescent="0.3">
      <c r="A525" t="s">
        <v>986</v>
      </c>
      <c r="B525" t="s">
        <v>987</v>
      </c>
      <c r="C525" s="1">
        <v>45773</v>
      </c>
      <c r="D525" t="s">
        <v>15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19</v>
      </c>
      <c r="K525">
        <v>84</v>
      </c>
      <c r="L525">
        <v>1</v>
      </c>
    </row>
    <row r="526" spans="1:12" x14ac:dyDescent="0.3">
      <c r="A526" t="s">
        <v>988</v>
      </c>
      <c r="B526" t="s">
        <v>989</v>
      </c>
      <c r="C526" s="1">
        <v>45662</v>
      </c>
      <c r="D526" t="s">
        <v>42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63</v>
      </c>
      <c r="K526">
        <v>30</v>
      </c>
      <c r="L526">
        <v>0</v>
      </c>
    </row>
    <row r="527" spans="1:12" x14ac:dyDescent="0.3">
      <c r="A527" t="s">
        <v>990</v>
      </c>
      <c r="B527" t="s">
        <v>991</v>
      </c>
      <c r="C527" s="1">
        <v>45472</v>
      </c>
      <c r="D527" t="s">
        <v>42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19</v>
      </c>
      <c r="K527">
        <v>47</v>
      </c>
      <c r="L527">
        <v>1</v>
      </c>
    </row>
    <row r="528" spans="1:12" x14ac:dyDescent="0.3">
      <c r="A528" t="s">
        <v>992</v>
      </c>
      <c r="B528" t="s">
        <v>993</v>
      </c>
      <c r="C528" s="1">
        <v>45557</v>
      </c>
      <c r="D528" t="s">
        <v>37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16</v>
      </c>
      <c r="K528">
        <v>0</v>
      </c>
      <c r="L528">
        <v>0</v>
      </c>
    </row>
    <row r="529" spans="1:12" x14ac:dyDescent="0.3">
      <c r="A529" t="s">
        <v>994</v>
      </c>
      <c r="B529" t="s">
        <v>995</v>
      </c>
      <c r="C529" s="1">
        <v>45456</v>
      </c>
      <c r="D529" t="s">
        <v>25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16</v>
      </c>
      <c r="K529">
        <v>0</v>
      </c>
      <c r="L529">
        <v>0</v>
      </c>
    </row>
    <row r="530" spans="1:12" x14ac:dyDescent="0.3">
      <c r="A530" t="s">
        <v>996</v>
      </c>
      <c r="B530" t="s">
        <v>997</v>
      </c>
      <c r="C530" s="1">
        <v>45440</v>
      </c>
      <c r="D530" t="s">
        <v>42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63</v>
      </c>
      <c r="K530">
        <v>30</v>
      </c>
      <c r="L530">
        <v>0</v>
      </c>
    </row>
    <row r="531" spans="1:12" x14ac:dyDescent="0.3">
      <c r="A531" t="s">
        <v>998</v>
      </c>
      <c r="B531" t="s">
        <v>999</v>
      </c>
      <c r="C531" s="1">
        <v>45616</v>
      </c>
      <c r="D531" t="s">
        <v>31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19</v>
      </c>
      <c r="K531">
        <v>134</v>
      </c>
      <c r="L531">
        <v>1</v>
      </c>
    </row>
    <row r="532" spans="1:12" x14ac:dyDescent="0.3">
      <c r="A532" t="s">
        <v>1000</v>
      </c>
      <c r="B532" t="s">
        <v>1001</v>
      </c>
      <c r="C532" s="1">
        <v>45391</v>
      </c>
      <c r="D532" t="s">
        <v>42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19</v>
      </c>
      <c r="K532">
        <v>78</v>
      </c>
      <c r="L532">
        <v>1</v>
      </c>
    </row>
    <row r="533" spans="1:12" x14ac:dyDescent="0.3">
      <c r="A533" t="s">
        <v>1002</v>
      </c>
      <c r="B533" t="s">
        <v>1003</v>
      </c>
      <c r="C533" s="1">
        <v>45487</v>
      </c>
      <c r="D533" t="s">
        <v>22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28</v>
      </c>
      <c r="K533">
        <v>0</v>
      </c>
      <c r="L533">
        <v>0</v>
      </c>
    </row>
    <row r="534" spans="1:12" x14ac:dyDescent="0.3">
      <c r="A534" t="s">
        <v>1004</v>
      </c>
      <c r="B534" t="s">
        <v>1005</v>
      </c>
      <c r="C534" s="1">
        <v>45758</v>
      </c>
      <c r="D534" t="s">
        <v>42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16</v>
      </c>
      <c r="K534">
        <v>0</v>
      </c>
      <c r="L534">
        <v>0</v>
      </c>
    </row>
    <row r="535" spans="1:12" x14ac:dyDescent="0.3">
      <c r="A535" t="s">
        <v>1006</v>
      </c>
      <c r="B535" t="s">
        <v>1005</v>
      </c>
      <c r="C535" s="1">
        <v>45761</v>
      </c>
      <c r="D535" t="s">
        <v>18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28</v>
      </c>
      <c r="K535">
        <v>0</v>
      </c>
      <c r="L535">
        <v>0</v>
      </c>
    </row>
    <row r="536" spans="1:12" x14ac:dyDescent="0.3">
      <c r="A536" t="s">
        <v>1007</v>
      </c>
      <c r="B536" t="s">
        <v>1008</v>
      </c>
      <c r="C536" s="1">
        <v>45393</v>
      </c>
      <c r="D536" t="s">
        <v>18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28</v>
      </c>
      <c r="K536">
        <v>0</v>
      </c>
      <c r="L536">
        <v>0</v>
      </c>
    </row>
    <row r="537" spans="1:12" x14ac:dyDescent="0.3">
      <c r="A537" t="s">
        <v>1009</v>
      </c>
      <c r="B537" t="s">
        <v>1010</v>
      </c>
      <c r="C537" s="1">
        <v>45394</v>
      </c>
      <c r="D537" t="s">
        <v>48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16</v>
      </c>
      <c r="K537">
        <v>0</v>
      </c>
      <c r="L537">
        <v>0</v>
      </c>
    </row>
    <row r="538" spans="1:12" x14ac:dyDescent="0.3">
      <c r="A538" t="s">
        <v>1011</v>
      </c>
      <c r="B538" t="s">
        <v>1012</v>
      </c>
      <c r="C538" s="1">
        <v>45492</v>
      </c>
      <c r="D538" t="s">
        <v>18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63</v>
      </c>
      <c r="K538">
        <v>30</v>
      </c>
      <c r="L538">
        <v>0</v>
      </c>
    </row>
    <row r="539" spans="1:12" x14ac:dyDescent="0.3">
      <c r="A539" t="s">
        <v>1013</v>
      </c>
      <c r="B539" t="s">
        <v>1014</v>
      </c>
      <c r="C539" s="1">
        <v>45675</v>
      </c>
      <c r="D539" t="s">
        <v>15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28</v>
      </c>
      <c r="K539">
        <v>0</v>
      </c>
      <c r="L539">
        <v>0</v>
      </c>
    </row>
    <row r="540" spans="1:12" x14ac:dyDescent="0.3">
      <c r="A540" t="s">
        <v>1015</v>
      </c>
      <c r="B540" t="s">
        <v>1016</v>
      </c>
      <c r="C540" s="1">
        <v>45296</v>
      </c>
      <c r="D540" t="s">
        <v>25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28</v>
      </c>
      <c r="K540">
        <v>0</v>
      </c>
      <c r="L540">
        <v>0</v>
      </c>
    </row>
    <row r="541" spans="1:12" x14ac:dyDescent="0.3">
      <c r="A541" t="s">
        <v>1017</v>
      </c>
      <c r="B541" t="s">
        <v>1018</v>
      </c>
      <c r="C541" s="1">
        <v>45466</v>
      </c>
      <c r="D541" t="s">
        <v>31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63</v>
      </c>
      <c r="K541">
        <v>30</v>
      </c>
      <c r="L541">
        <v>0</v>
      </c>
    </row>
    <row r="542" spans="1:12" x14ac:dyDescent="0.3">
      <c r="A542" t="s">
        <v>1019</v>
      </c>
      <c r="B542" t="s">
        <v>1020</v>
      </c>
      <c r="C542" s="1">
        <v>45731</v>
      </c>
      <c r="D542" t="s">
        <v>39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19</v>
      </c>
      <c r="K542">
        <v>129</v>
      </c>
      <c r="L542">
        <v>1</v>
      </c>
    </row>
    <row r="543" spans="1:12" x14ac:dyDescent="0.3">
      <c r="A543" t="s">
        <v>1021</v>
      </c>
      <c r="B543" t="s">
        <v>1020</v>
      </c>
      <c r="C543" s="1">
        <v>45393</v>
      </c>
      <c r="D543" t="s">
        <v>34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28</v>
      </c>
      <c r="K543">
        <v>0</v>
      </c>
      <c r="L543">
        <v>0</v>
      </c>
    </row>
    <row r="544" spans="1:12" x14ac:dyDescent="0.3">
      <c r="A544" t="s">
        <v>1022</v>
      </c>
      <c r="B544" t="s">
        <v>1023</v>
      </c>
      <c r="C544" s="1">
        <v>45454</v>
      </c>
      <c r="D544" t="s">
        <v>18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28</v>
      </c>
      <c r="K544">
        <v>0</v>
      </c>
      <c r="L544">
        <v>0</v>
      </c>
    </row>
    <row r="545" spans="1:12" x14ac:dyDescent="0.3">
      <c r="A545" t="s">
        <v>1024</v>
      </c>
      <c r="B545" t="s">
        <v>1025</v>
      </c>
      <c r="C545" s="1">
        <v>45372</v>
      </c>
      <c r="D545" t="s">
        <v>48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16</v>
      </c>
      <c r="K545">
        <v>0</v>
      </c>
      <c r="L545">
        <v>0</v>
      </c>
    </row>
    <row r="546" spans="1:12" x14ac:dyDescent="0.3">
      <c r="A546" t="s">
        <v>1026</v>
      </c>
      <c r="B546" t="s">
        <v>1027</v>
      </c>
      <c r="C546" s="1">
        <v>45543</v>
      </c>
      <c r="D546" t="s">
        <v>31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28</v>
      </c>
      <c r="K546">
        <v>0</v>
      </c>
      <c r="L546">
        <v>0</v>
      </c>
    </row>
    <row r="547" spans="1:12" x14ac:dyDescent="0.3">
      <c r="A547" t="s">
        <v>1028</v>
      </c>
      <c r="B547" t="s">
        <v>1027</v>
      </c>
      <c r="C547" s="1">
        <v>45397</v>
      </c>
      <c r="D547" t="s">
        <v>25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63</v>
      </c>
      <c r="K547">
        <v>15</v>
      </c>
      <c r="L547">
        <v>0</v>
      </c>
    </row>
    <row r="548" spans="1:12" x14ac:dyDescent="0.3">
      <c r="A548" t="s">
        <v>1029</v>
      </c>
      <c r="B548" t="s">
        <v>1030</v>
      </c>
      <c r="C548" s="1">
        <v>45504</v>
      </c>
      <c r="D548" t="s">
        <v>25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28</v>
      </c>
      <c r="K548">
        <v>0</v>
      </c>
      <c r="L548">
        <v>0</v>
      </c>
    </row>
    <row r="549" spans="1:12" x14ac:dyDescent="0.3">
      <c r="A549" t="s">
        <v>1031</v>
      </c>
      <c r="B549" t="s">
        <v>1032</v>
      </c>
      <c r="C549" s="1">
        <v>45753</v>
      </c>
      <c r="D549" t="s">
        <v>37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28</v>
      </c>
      <c r="K549">
        <v>0</v>
      </c>
      <c r="L549">
        <v>0</v>
      </c>
    </row>
    <row r="550" spans="1:12" x14ac:dyDescent="0.3">
      <c r="A550" t="s">
        <v>1033</v>
      </c>
      <c r="B550" t="s">
        <v>1034</v>
      </c>
      <c r="C550" s="1">
        <v>45647</v>
      </c>
      <c r="D550" t="s">
        <v>48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28</v>
      </c>
      <c r="K550">
        <v>0</v>
      </c>
      <c r="L550">
        <v>0</v>
      </c>
    </row>
    <row r="551" spans="1:12" x14ac:dyDescent="0.3">
      <c r="A551" t="s">
        <v>1035</v>
      </c>
      <c r="B551" t="s">
        <v>1036</v>
      </c>
      <c r="C551" s="1">
        <v>45822</v>
      </c>
      <c r="D551" t="s">
        <v>25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16</v>
      </c>
      <c r="K551">
        <v>0</v>
      </c>
      <c r="L551">
        <v>0</v>
      </c>
    </row>
    <row r="552" spans="1:12" x14ac:dyDescent="0.3">
      <c r="A552" t="s">
        <v>1037</v>
      </c>
      <c r="B552" t="s">
        <v>1038</v>
      </c>
      <c r="C552" s="1">
        <v>45421</v>
      </c>
      <c r="D552" t="s">
        <v>39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16</v>
      </c>
      <c r="K552">
        <v>0</v>
      </c>
      <c r="L552">
        <v>0</v>
      </c>
    </row>
    <row r="553" spans="1:12" x14ac:dyDescent="0.3">
      <c r="A553" t="s">
        <v>1039</v>
      </c>
      <c r="B553" t="s">
        <v>1040</v>
      </c>
      <c r="C553" s="1">
        <v>45701</v>
      </c>
      <c r="D553" t="s">
        <v>22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28</v>
      </c>
      <c r="K553">
        <v>0</v>
      </c>
      <c r="L553">
        <v>0</v>
      </c>
    </row>
    <row r="554" spans="1:12" x14ac:dyDescent="0.3">
      <c r="A554" t="s">
        <v>1041</v>
      </c>
      <c r="B554" t="s">
        <v>1042</v>
      </c>
      <c r="C554" s="1">
        <v>45502</v>
      </c>
      <c r="D554" t="s">
        <v>25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16</v>
      </c>
      <c r="K554">
        <v>0</v>
      </c>
      <c r="L554">
        <v>0</v>
      </c>
    </row>
    <row r="555" spans="1:12" x14ac:dyDescent="0.3">
      <c r="A555" t="s">
        <v>1043</v>
      </c>
      <c r="B555" t="s">
        <v>1042</v>
      </c>
      <c r="C555" s="1">
        <v>45684</v>
      </c>
      <c r="D555" t="s">
        <v>18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28</v>
      </c>
      <c r="K555">
        <v>0</v>
      </c>
      <c r="L555">
        <v>0</v>
      </c>
    </row>
    <row r="556" spans="1:12" x14ac:dyDescent="0.3">
      <c r="A556" t="s">
        <v>1044</v>
      </c>
      <c r="B556" t="s">
        <v>1045</v>
      </c>
      <c r="C556" s="1">
        <v>45711</v>
      </c>
      <c r="D556" t="s">
        <v>37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63</v>
      </c>
      <c r="K556">
        <v>0</v>
      </c>
      <c r="L556">
        <v>0</v>
      </c>
    </row>
    <row r="557" spans="1:12" x14ac:dyDescent="0.3">
      <c r="A557" t="s">
        <v>1046</v>
      </c>
      <c r="B557" t="s">
        <v>1047</v>
      </c>
      <c r="C557" s="1">
        <v>45482</v>
      </c>
      <c r="D557" t="s">
        <v>31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63</v>
      </c>
      <c r="K557">
        <v>0</v>
      </c>
      <c r="L557">
        <v>0</v>
      </c>
    </row>
    <row r="558" spans="1:12" x14ac:dyDescent="0.3">
      <c r="A558" t="s">
        <v>1048</v>
      </c>
      <c r="B558" t="s">
        <v>1047</v>
      </c>
      <c r="C558" s="1">
        <v>45303</v>
      </c>
      <c r="D558" t="s">
        <v>31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28</v>
      </c>
      <c r="K558">
        <v>0</v>
      </c>
      <c r="L558">
        <v>0</v>
      </c>
    </row>
    <row r="559" spans="1:12" x14ac:dyDescent="0.3">
      <c r="A559" t="s">
        <v>1049</v>
      </c>
      <c r="B559" t="s">
        <v>1050</v>
      </c>
      <c r="C559" s="1">
        <v>45514</v>
      </c>
      <c r="D559" t="s">
        <v>39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19</v>
      </c>
      <c r="K559">
        <v>101</v>
      </c>
      <c r="L559">
        <v>1</v>
      </c>
    </row>
    <row r="560" spans="1:12" x14ac:dyDescent="0.3">
      <c r="A560" t="s">
        <v>1051</v>
      </c>
      <c r="B560" t="s">
        <v>1052</v>
      </c>
      <c r="C560" s="1">
        <v>45619</v>
      </c>
      <c r="D560" t="s">
        <v>37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19</v>
      </c>
      <c r="K560">
        <v>42</v>
      </c>
      <c r="L560">
        <v>1</v>
      </c>
    </row>
    <row r="561" spans="1:12" x14ac:dyDescent="0.3">
      <c r="A561" t="s">
        <v>1053</v>
      </c>
      <c r="B561" t="s">
        <v>1054</v>
      </c>
      <c r="C561" s="1">
        <v>45467</v>
      </c>
      <c r="D561" t="s">
        <v>15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28</v>
      </c>
      <c r="K561">
        <v>0</v>
      </c>
      <c r="L561">
        <v>0</v>
      </c>
    </row>
    <row r="562" spans="1:12" x14ac:dyDescent="0.3">
      <c r="A562" t="s">
        <v>1055</v>
      </c>
      <c r="B562" t="s">
        <v>1054</v>
      </c>
      <c r="C562" s="1">
        <v>45764</v>
      </c>
      <c r="D562" t="s">
        <v>42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28</v>
      </c>
      <c r="K562">
        <v>0</v>
      </c>
      <c r="L562">
        <v>0</v>
      </c>
    </row>
    <row r="563" spans="1:12" x14ac:dyDescent="0.3">
      <c r="A563" t="s">
        <v>1056</v>
      </c>
      <c r="B563" t="s">
        <v>1057</v>
      </c>
      <c r="C563" s="1">
        <v>45717</v>
      </c>
      <c r="D563" t="s">
        <v>22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16</v>
      </c>
      <c r="K563">
        <v>0</v>
      </c>
      <c r="L563">
        <v>0</v>
      </c>
    </row>
    <row r="564" spans="1:12" x14ac:dyDescent="0.3">
      <c r="A564" t="s">
        <v>1058</v>
      </c>
      <c r="B564" t="s">
        <v>1057</v>
      </c>
      <c r="C564" s="1">
        <v>45694</v>
      </c>
      <c r="D564" t="s">
        <v>18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19</v>
      </c>
      <c r="K564">
        <v>146</v>
      </c>
      <c r="L564">
        <v>1</v>
      </c>
    </row>
    <row r="565" spans="1:12" x14ac:dyDescent="0.3">
      <c r="A565" t="s">
        <v>1059</v>
      </c>
      <c r="B565" t="s">
        <v>1060</v>
      </c>
      <c r="C565" s="1">
        <v>45340</v>
      </c>
      <c r="D565" t="s">
        <v>37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16</v>
      </c>
      <c r="K565">
        <v>0</v>
      </c>
      <c r="L565">
        <v>0</v>
      </c>
    </row>
    <row r="566" spans="1:12" x14ac:dyDescent="0.3">
      <c r="A566" t="s">
        <v>1061</v>
      </c>
      <c r="B566" t="s">
        <v>1062</v>
      </c>
      <c r="C566" s="1">
        <v>45297</v>
      </c>
      <c r="D566" t="s">
        <v>18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63</v>
      </c>
      <c r="K566">
        <v>15</v>
      </c>
      <c r="L566">
        <v>0</v>
      </c>
    </row>
    <row r="567" spans="1:12" x14ac:dyDescent="0.3">
      <c r="A567" t="s">
        <v>1063</v>
      </c>
      <c r="B567" t="s">
        <v>1062</v>
      </c>
      <c r="C567" s="1">
        <v>45680</v>
      </c>
      <c r="D567" t="s">
        <v>42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19</v>
      </c>
      <c r="K567">
        <v>73</v>
      </c>
      <c r="L567">
        <v>1</v>
      </c>
    </row>
    <row r="568" spans="1:12" x14ac:dyDescent="0.3">
      <c r="A568" t="s">
        <v>1064</v>
      </c>
      <c r="B568" t="s">
        <v>1065</v>
      </c>
      <c r="C568" s="1">
        <v>45715</v>
      </c>
      <c r="D568" t="s">
        <v>48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28</v>
      </c>
      <c r="K568">
        <v>0</v>
      </c>
      <c r="L568">
        <v>0</v>
      </c>
    </row>
    <row r="569" spans="1:12" x14ac:dyDescent="0.3">
      <c r="A569" t="s">
        <v>1066</v>
      </c>
      <c r="B569" t="s">
        <v>1065</v>
      </c>
      <c r="C569" s="1">
        <v>45786</v>
      </c>
      <c r="D569" t="s">
        <v>39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28</v>
      </c>
      <c r="K569">
        <v>0</v>
      </c>
      <c r="L569">
        <v>0</v>
      </c>
    </row>
    <row r="570" spans="1:12" x14ac:dyDescent="0.3">
      <c r="A570" t="s">
        <v>1067</v>
      </c>
      <c r="B570" t="s">
        <v>1068</v>
      </c>
      <c r="C570" s="1">
        <v>45368</v>
      </c>
      <c r="D570" t="s">
        <v>22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28</v>
      </c>
      <c r="K570">
        <v>0</v>
      </c>
      <c r="L570">
        <v>0</v>
      </c>
    </row>
    <row r="571" spans="1:12" x14ac:dyDescent="0.3">
      <c r="A571" t="s">
        <v>1069</v>
      </c>
      <c r="B571" t="s">
        <v>1070</v>
      </c>
      <c r="C571" s="1">
        <v>45832</v>
      </c>
      <c r="D571" t="s">
        <v>18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16</v>
      </c>
      <c r="K571">
        <v>0</v>
      </c>
      <c r="L571">
        <v>0</v>
      </c>
    </row>
    <row r="572" spans="1:12" x14ac:dyDescent="0.3">
      <c r="A572" t="s">
        <v>1071</v>
      </c>
      <c r="B572" t="s">
        <v>1072</v>
      </c>
      <c r="C572" s="1">
        <v>45664</v>
      </c>
      <c r="D572" t="s">
        <v>34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63</v>
      </c>
      <c r="K572">
        <v>0</v>
      </c>
      <c r="L572">
        <v>0</v>
      </c>
    </row>
    <row r="573" spans="1:12" x14ac:dyDescent="0.3">
      <c r="A573" t="s">
        <v>1073</v>
      </c>
      <c r="B573" t="s">
        <v>1074</v>
      </c>
      <c r="C573" s="1">
        <v>45396</v>
      </c>
      <c r="D573" t="s">
        <v>18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63</v>
      </c>
      <c r="K573">
        <v>15</v>
      </c>
      <c r="L573">
        <v>0</v>
      </c>
    </row>
    <row r="574" spans="1:12" x14ac:dyDescent="0.3">
      <c r="A574" t="s">
        <v>1075</v>
      </c>
      <c r="B574" t="s">
        <v>1076</v>
      </c>
      <c r="C574" s="1">
        <v>45563</v>
      </c>
      <c r="D574" t="s">
        <v>15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28</v>
      </c>
      <c r="K574">
        <v>0</v>
      </c>
      <c r="L574">
        <v>0</v>
      </c>
    </row>
    <row r="575" spans="1:12" x14ac:dyDescent="0.3">
      <c r="A575" t="s">
        <v>1077</v>
      </c>
      <c r="B575" t="s">
        <v>1078</v>
      </c>
      <c r="C575" s="1">
        <v>45670</v>
      </c>
      <c r="D575" t="s">
        <v>18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16</v>
      </c>
      <c r="K575">
        <v>0</v>
      </c>
      <c r="L575">
        <v>0</v>
      </c>
    </row>
    <row r="576" spans="1:12" x14ac:dyDescent="0.3">
      <c r="A576" t="s">
        <v>1079</v>
      </c>
      <c r="B576" t="s">
        <v>1080</v>
      </c>
      <c r="C576" s="1">
        <v>45797</v>
      </c>
      <c r="D576" t="s">
        <v>25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28</v>
      </c>
      <c r="K576">
        <v>0</v>
      </c>
      <c r="L576">
        <v>0</v>
      </c>
    </row>
    <row r="577" spans="1:12" x14ac:dyDescent="0.3">
      <c r="A577" t="s">
        <v>1081</v>
      </c>
      <c r="B577" t="s">
        <v>1082</v>
      </c>
      <c r="C577" s="1">
        <v>45536</v>
      </c>
      <c r="D577" t="s">
        <v>37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19</v>
      </c>
      <c r="K577">
        <v>55</v>
      </c>
      <c r="L577">
        <v>1</v>
      </c>
    </row>
    <row r="578" spans="1:12" x14ac:dyDescent="0.3">
      <c r="A578" t="s">
        <v>1083</v>
      </c>
      <c r="B578" t="s">
        <v>1084</v>
      </c>
      <c r="C578" s="1">
        <v>45566</v>
      </c>
      <c r="D578" t="s">
        <v>48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28</v>
      </c>
      <c r="K578">
        <v>0</v>
      </c>
      <c r="L578">
        <v>0</v>
      </c>
    </row>
    <row r="579" spans="1:12" x14ac:dyDescent="0.3">
      <c r="A579" t="s">
        <v>1085</v>
      </c>
      <c r="B579" t="s">
        <v>1086</v>
      </c>
      <c r="C579" s="1">
        <v>45780</v>
      </c>
      <c r="D579" t="s">
        <v>48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63</v>
      </c>
      <c r="K579">
        <v>15</v>
      </c>
      <c r="L579">
        <v>0</v>
      </c>
    </row>
    <row r="580" spans="1:12" x14ac:dyDescent="0.3">
      <c r="A580" t="s">
        <v>1087</v>
      </c>
      <c r="B580" t="s">
        <v>1088</v>
      </c>
      <c r="C580" s="1">
        <v>45305</v>
      </c>
      <c r="D580" t="s">
        <v>37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28</v>
      </c>
      <c r="K580">
        <v>0</v>
      </c>
      <c r="L580">
        <v>0</v>
      </c>
    </row>
    <row r="581" spans="1:12" x14ac:dyDescent="0.3">
      <c r="A581" t="s">
        <v>1089</v>
      </c>
      <c r="B581" t="s">
        <v>1090</v>
      </c>
      <c r="C581" s="1">
        <v>45777</v>
      </c>
      <c r="D581" t="s">
        <v>37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28</v>
      </c>
      <c r="K581">
        <v>0</v>
      </c>
      <c r="L581">
        <v>0</v>
      </c>
    </row>
    <row r="582" spans="1:12" x14ac:dyDescent="0.3">
      <c r="A582" t="s">
        <v>1091</v>
      </c>
      <c r="B582" t="s">
        <v>1090</v>
      </c>
      <c r="C582" s="1">
        <v>45829</v>
      </c>
      <c r="D582" t="s">
        <v>37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16</v>
      </c>
      <c r="K582">
        <v>0</v>
      </c>
      <c r="L582">
        <v>0</v>
      </c>
    </row>
    <row r="583" spans="1:12" x14ac:dyDescent="0.3">
      <c r="A583" t="s">
        <v>1092</v>
      </c>
      <c r="B583" t="s">
        <v>1093</v>
      </c>
      <c r="C583" s="1">
        <v>45790</v>
      </c>
      <c r="D583" t="s">
        <v>31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16</v>
      </c>
      <c r="K583">
        <v>0</v>
      </c>
      <c r="L583">
        <v>0</v>
      </c>
    </row>
    <row r="584" spans="1:12" x14ac:dyDescent="0.3">
      <c r="A584" t="s">
        <v>1094</v>
      </c>
      <c r="B584" t="s">
        <v>1095</v>
      </c>
      <c r="C584" s="1">
        <v>45568</v>
      </c>
      <c r="D584" t="s">
        <v>31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28</v>
      </c>
      <c r="K584">
        <v>0</v>
      </c>
      <c r="L584">
        <v>0</v>
      </c>
    </row>
    <row r="585" spans="1:12" x14ac:dyDescent="0.3">
      <c r="A585" t="s">
        <v>1096</v>
      </c>
      <c r="B585" t="s">
        <v>1097</v>
      </c>
      <c r="C585" s="1">
        <v>45733</v>
      </c>
      <c r="D585" t="s">
        <v>39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28</v>
      </c>
      <c r="K585">
        <v>0</v>
      </c>
      <c r="L585">
        <v>0</v>
      </c>
    </row>
    <row r="586" spans="1:12" x14ac:dyDescent="0.3">
      <c r="A586" t="s">
        <v>1098</v>
      </c>
      <c r="B586" t="s">
        <v>1097</v>
      </c>
      <c r="C586" s="1">
        <v>45752</v>
      </c>
      <c r="D586" t="s">
        <v>18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63</v>
      </c>
      <c r="K586">
        <v>15</v>
      </c>
      <c r="L586">
        <v>0</v>
      </c>
    </row>
    <row r="587" spans="1:12" x14ac:dyDescent="0.3">
      <c r="A587" t="s">
        <v>1099</v>
      </c>
      <c r="B587" t="s">
        <v>1100</v>
      </c>
      <c r="C587" s="1">
        <v>45574</v>
      </c>
      <c r="D587" t="s">
        <v>31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28</v>
      </c>
      <c r="K587">
        <v>0</v>
      </c>
      <c r="L587">
        <v>0</v>
      </c>
    </row>
    <row r="588" spans="1:12" x14ac:dyDescent="0.3">
      <c r="A588" t="s">
        <v>1101</v>
      </c>
      <c r="B588" t="s">
        <v>1100</v>
      </c>
      <c r="C588" s="1">
        <v>45647</v>
      </c>
      <c r="D588" t="s">
        <v>31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63</v>
      </c>
      <c r="K588">
        <v>30</v>
      </c>
      <c r="L588">
        <v>0</v>
      </c>
    </row>
    <row r="589" spans="1:12" x14ac:dyDescent="0.3">
      <c r="A589" t="s">
        <v>1102</v>
      </c>
      <c r="B589" t="s">
        <v>1103</v>
      </c>
      <c r="C589" s="1">
        <v>45458</v>
      </c>
      <c r="D589" t="s">
        <v>15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16</v>
      </c>
      <c r="K589">
        <v>0</v>
      </c>
      <c r="L589">
        <v>0</v>
      </c>
    </row>
    <row r="590" spans="1:12" x14ac:dyDescent="0.3">
      <c r="A590" t="s">
        <v>1104</v>
      </c>
      <c r="B590" t="s">
        <v>1105</v>
      </c>
      <c r="C590" s="1">
        <v>45605</v>
      </c>
      <c r="D590" t="s">
        <v>42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19</v>
      </c>
      <c r="K590">
        <v>120</v>
      </c>
      <c r="L590">
        <v>1</v>
      </c>
    </row>
    <row r="591" spans="1:12" x14ac:dyDescent="0.3">
      <c r="A591" t="s">
        <v>1106</v>
      </c>
      <c r="B591" t="s">
        <v>1107</v>
      </c>
      <c r="C591" s="1">
        <v>45806</v>
      </c>
      <c r="D591" t="s">
        <v>42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28</v>
      </c>
      <c r="K591">
        <v>0</v>
      </c>
      <c r="L591">
        <v>0</v>
      </c>
    </row>
    <row r="592" spans="1:12" x14ac:dyDescent="0.3">
      <c r="A592" t="s">
        <v>1108</v>
      </c>
      <c r="B592" t="s">
        <v>1109</v>
      </c>
      <c r="C592" s="1">
        <v>45374</v>
      </c>
      <c r="D592" t="s">
        <v>25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19</v>
      </c>
      <c r="K592">
        <v>38</v>
      </c>
      <c r="L592">
        <v>1</v>
      </c>
    </row>
    <row r="593" spans="1:12" x14ac:dyDescent="0.3">
      <c r="A593" t="s">
        <v>1110</v>
      </c>
      <c r="B593" t="s">
        <v>1111</v>
      </c>
      <c r="C593" s="1">
        <v>45392</v>
      </c>
      <c r="D593" t="s">
        <v>31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63</v>
      </c>
      <c r="K593">
        <v>15</v>
      </c>
      <c r="L593">
        <v>0</v>
      </c>
    </row>
    <row r="594" spans="1:12" x14ac:dyDescent="0.3">
      <c r="A594" t="s">
        <v>1112</v>
      </c>
      <c r="B594" t="s">
        <v>1113</v>
      </c>
      <c r="C594" s="1">
        <v>45496</v>
      </c>
      <c r="D594" t="s">
        <v>18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28</v>
      </c>
      <c r="K594">
        <v>0</v>
      </c>
      <c r="L594">
        <v>0</v>
      </c>
    </row>
    <row r="595" spans="1:12" x14ac:dyDescent="0.3">
      <c r="A595" t="s">
        <v>1114</v>
      </c>
      <c r="B595" t="s">
        <v>1115</v>
      </c>
      <c r="C595" s="1">
        <v>45739</v>
      </c>
      <c r="D595" t="s">
        <v>25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19</v>
      </c>
      <c r="K595">
        <v>164</v>
      </c>
      <c r="L595">
        <v>1</v>
      </c>
    </row>
    <row r="596" spans="1:12" x14ac:dyDescent="0.3">
      <c r="A596" t="s">
        <v>1116</v>
      </c>
      <c r="B596" t="s">
        <v>1117</v>
      </c>
      <c r="C596" s="1">
        <v>45729</v>
      </c>
      <c r="D596" t="s">
        <v>31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63</v>
      </c>
      <c r="K596">
        <v>30</v>
      </c>
      <c r="L596">
        <v>0</v>
      </c>
    </row>
    <row r="597" spans="1:12" x14ac:dyDescent="0.3">
      <c r="A597" t="s">
        <v>1118</v>
      </c>
      <c r="B597" t="s">
        <v>1119</v>
      </c>
      <c r="C597" s="1">
        <v>45601</v>
      </c>
      <c r="D597" t="s">
        <v>42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28</v>
      </c>
      <c r="K597">
        <v>0</v>
      </c>
      <c r="L597">
        <v>0</v>
      </c>
    </row>
    <row r="598" spans="1:12" x14ac:dyDescent="0.3">
      <c r="A598" t="s">
        <v>1120</v>
      </c>
      <c r="B598" t="s">
        <v>1119</v>
      </c>
      <c r="C598" s="1">
        <v>45694</v>
      </c>
      <c r="D598" t="s">
        <v>48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19</v>
      </c>
      <c r="K598">
        <v>31</v>
      </c>
      <c r="L598">
        <v>1</v>
      </c>
    </row>
    <row r="599" spans="1:12" x14ac:dyDescent="0.3">
      <c r="A599" t="s">
        <v>1121</v>
      </c>
      <c r="B599" t="s">
        <v>1122</v>
      </c>
      <c r="C599" s="1">
        <v>45401</v>
      </c>
      <c r="D599" t="s">
        <v>22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28</v>
      </c>
      <c r="K599">
        <v>0</v>
      </c>
      <c r="L599">
        <v>0</v>
      </c>
    </row>
    <row r="600" spans="1:12" x14ac:dyDescent="0.3">
      <c r="A600" t="s">
        <v>1123</v>
      </c>
      <c r="B600" t="s">
        <v>1124</v>
      </c>
      <c r="C600" s="1">
        <v>45346</v>
      </c>
      <c r="D600" t="s">
        <v>31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28</v>
      </c>
      <c r="K600">
        <v>0</v>
      </c>
      <c r="L600">
        <v>0</v>
      </c>
    </row>
    <row r="601" spans="1:12" x14ac:dyDescent="0.3">
      <c r="A601" t="s">
        <v>1125</v>
      </c>
      <c r="B601" t="s">
        <v>1126</v>
      </c>
      <c r="C601" s="1">
        <v>45610</v>
      </c>
      <c r="D601" t="s">
        <v>34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63</v>
      </c>
      <c r="K601">
        <v>15</v>
      </c>
      <c r="L601">
        <v>0</v>
      </c>
    </row>
    <row r="602" spans="1:12" x14ac:dyDescent="0.3">
      <c r="A602" t="s">
        <v>1127</v>
      </c>
      <c r="B602" t="s">
        <v>1126</v>
      </c>
      <c r="C602" s="1">
        <v>45415</v>
      </c>
      <c r="D602" t="s">
        <v>48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28</v>
      </c>
      <c r="K602">
        <v>0</v>
      </c>
      <c r="L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borrower_profiles</vt:lpstr>
      <vt:lpstr>loan_applications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boody salem</cp:lastModifiedBy>
  <dcterms:created xsi:type="dcterms:W3CDTF">2026-07-06T17:18:21Z</dcterms:created>
  <dcterms:modified xsi:type="dcterms:W3CDTF">2026-07-06T17:20:37Z</dcterms:modified>
</cp:coreProperties>
</file>